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730"/>
  </bookViews>
  <sheets>
    <sheet name="Census" sheetId="2" r:id="rId1"/>
  </sheets>
  <externalReferences>
    <externalReference r:id="rId2"/>
  </externalReferences>
  <definedNames>
    <definedName name="_xlnm._FilterDatabase" localSheetId="0" hidden="1">Census!$A$25:$AT$530</definedName>
    <definedName name="_xlnm.Print_Area" localSheetId="0">Census!$B$1:$AF$39</definedName>
    <definedName name="_xlnm.Print_Titles" localSheetId="0">Census!$24:$25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<sst xmlns="http://schemas.openxmlformats.org/spreadsheetml/2006/main" count="7809" uniqueCount="990">
  <si>
    <t>Health Insurance Census - Please include all Employees
Census Form (10+ employees NY &amp; 25+ employees NJ &amp; CT)</t>
  </si>
  <si>
    <t>Company Name:</t>
  </si>
  <si>
    <t>YouGov America</t>
  </si>
  <si>
    <t>Client Number:</t>
  </si>
  <si>
    <t>Company Information:</t>
  </si>
  <si>
    <t>Address</t>
  </si>
  <si>
    <t>432 Park Avenue South, 5th Floor</t>
  </si>
  <si>
    <t>City, State, Zip</t>
  </si>
  <si>
    <t>New York, NY, 10016</t>
  </si>
  <si>
    <t>County</t>
  </si>
  <si>
    <t>Contact</t>
  </si>
  <si>
    <t>Phone</t>
  </si>
  <si>
    <t>Fax</t>
  </si>
  <si>
    <t>E-Mail</t>
  </si>
  <si>
    <t>Effective Date:</t>
  </si>
  <si>
    <t>Company Location:</t>
  </si>
  <si>
    <t>SIC  Code:</t>
  </si>
  <si>
    <t>First Name (EEscriber / Dependent)</t>
  </si>
  <si>
    <t>Employee Last Name (EEscriber / Dependent)</t>
  </si>
  <si>
    <t>Gender</t>
  </si>
  <si>
    <t>Date of Birth</t>
  </si>
  <si>
    <t>Home Zip Code</t>
  </si>
  <si>
    <t>Relationship to Employee</t>
  </si>
  <si>
    <t>Dependent of Employee number</t>
  </si>
  <si>
    <t>Medical Coverage Tier</t>
  </si>
  <si>
    <t>Cobra</t>
  </si>
  <si>
    <t>Medical Plan Enrolled</t>
  </si>
  <si>
    <t>Medical Plan Price</t>
  </si>
  <si>
    <t>Dental Coverage Tier</t>
  </si>
  <si>
    <t>Dental Plan Enrolled</t>
  </si>
  <si>
    <t>Dental Plan Price</t>
  </si>
  <si>
    <t>Vision Coverage Tier</t>
  </si>
  <si>
    <t>Vision Plan Enrolled</t>
  </si>
  <si>
    <t>Vision Plan Price</t>
  </si>
  <si>
    <t>Life Plan Name</t>
  </si>
  <si>
    <t>Life Benefit</t>
  </si>
  <si>
    <t>Life Rate</t>
  </si>
  <si>
    <t>LTD Plan</t>
  </si>
  <si>
    <t>LTD Benefit</t>
  </si>
  <si>
    <t>LTD Rate</t>
  </si>
  <si>
    <t>STD Plan</t>
  </si>
  <si>
    <t>STD Benefit</t>
  </si>
  <si>
    <t>STD Rate</t>
  </si>
  <si>
    <t>Work State</t>
  </si>
  <si>
    <t>Job Title</t>
  </si>
  <si>
    <t>Workers Comp Code</t>
  </si>
  <si>
    <t>Annual Salary</t>
  </si>
  <si>
    <t>FT/PT</t>
  </si>
  <si>
    <t>asd</t>
  </si>
  <si>
    <t>sd</t>
  </si>
  <si>
    <t>Nour</t>
  </si>
  <si>
    <t>Abboud Frank</t>
  </si>
  <si>
    <t>F</t>
  </si>
  <si>
    <t>EE</t>
  </si>
  <si>
    <t/>
  </si>
  <si>
    <t>EC</t>
  </si>
  <si>
    <t>N</t>
  </si>
  <si>
    <t>L09353M001</t>
  </si>
  <si>
    <t>FAM</t>
  </si>
  <si>
    <t>L093530001</t>
  </si>
  <si>
    <t>L093530003</t>
  </si>
  <si>
    <t>Anthem Life/AD&amp;D Plan</t>
  </si>
  <si>
    <t>Anthem LTD Plan</t>
  </si>
  <si>
    <t>Anthem STD Plan</t>
  </si>
  <si>
    <t>Senior Research Manager</t>
  </si>
  <si>
    <t>Adam</t>
  </si>
  <si>
    <t>Frank</t>
  </si>
  <si>
    <t>M</t>
  </si>
  <si>
    <t>CH</t>
  </si>
  <si>
    <t>John</t>
  </si>
  <si>
    <t>Megha</t>
  </si>
  <si>
    <t>Agarwal</t>
  </si>
  <si>
    <t>Client Engagement Manager</t>
  </si>
  <si>
    <t>Bilal</t>
  </si>
  <si>
    <t>Akbar</t>
  </si>
  <si>
    <t>Senior Manager - Data Products Client Services</t>
  </si>
  <si>
    <t>Simone</t>
  </si>
  <si>
    <t>Aldern</t>
  </si>
  <si>
    <t>Survey Analytics Analyst</t>
  </si>
  <si>
    <t>Sara</t>
  </si>
  <si>
    <t>Almira Cruz</t>
  </si>
  <si>
    <t>ES</t>
  </si>
  <si>
    <t>L09353M004</t>
  </si>
  <si>
    <t>Account Director</t>
  </si>
  <si>
    <t>Yobanis</t>
  </si>
  <si>
    <t>SP</t>
  </si>
  <si>
    <t>Anthony</t>
  </si>
  <si>
    <t>Altieri</t>
  </si>
  <si>
    <t>06117</t>
  </si>
  <si>
    <t>Vice President</t>
  </si>
  <si>
    <t>Giuliana</t>
  </si>
  <si>
    <t>Patricia</t>
  </si>
  <si>
    <t>Lucca</t>
  </si>
  <si>
    <t>Sarah</t>
  </si>
  <si>
    <t>Amini</t>
  </si>
  <si>
    <t>Senior Research Director</t>
  </si>
  <si>
    <t>Tambra</t>
  </si>
  <si>
    <t>Angle</t>
  </si>
  <si>
    <t>Research Director</t>
  </si>
  <si>
    <t>Anoke</t>
  </si>
  <si>
    <t>Principal Analyst</t>
  </si>
  <si>
    <t>Francis</t>
  </si>
  <si>
    <t>Akpa</t>
  </si>
  <si>
    <t>Muhammad</t>
  </si>
  <si>
    <t>Asad</t>
  </si>
  <si>
    <t>08002</t>
  </si>
  <si>
    <t>Senior Research Associate</t>
  </si>
  <si>
    <t>Alan</t>
  </si>
  <si>
    <t>Aviles</t>
  </si>
  <si>
    <t>06830</t>
  </si>
  <si>
    <t>Director - Data Products Client Services US</t>
  </si>
  <si>
    <t>Delia</t>
  </si>
  <si>
    <t>Bailey</t>
  </si>
  <si>
    <t>Senior Vice President of Data Science</t>
  </si>
  <si>
    <t>Charlotte</t>
  </si>
  <si>
    <t>Oliver</t>
  </si>
  <si>
    <t>Austin</t>
  </si>
  <si>
    <t>Elisa</t>
  </si>
  <si>
    <t>Ballesteros</t>
  </si>
  <si>
    <t>WO</t>
  </si>
  <si>
    <t>Sales Development Representative</t>
  </si>
  <si>
    <t>Kenton</t>
  </si>
  <si>
    <t>Barello</t>
  </si>
  <si>
    <t>Head of New Business-US</t>
  </si>
  <si>
    <t>Emily</t>
  </si>
  <si>
    <t>Gangwer</t>
  </si>
  <si>
    <t>Michael</t>
  </si>
  <si>
    <t>Barone</t>
  </si>
  <si>
    <t>07066</t>
  </si>
  <si>
    <t>Senior Manager - Data Products Client Services US</t>
  </si>
  <si>
    <t>Abigail</t>
  </si>
  <si>
    <t>Julia</t>
  </si>
  <si>
    <t>Lauren</t>
  </si>
  <si>
    <t>Kristy</t>
  </si>
  <si>
    <t>Bassolino</t>
  </si>
  <si>
    <t>07090</t>
  </si>
  <si>
    <t>Nicole</t>
  </si>
  <si>
    <t>Bastian</t>
  </si>
  <si>
    <t>Graduate Program Associate</t>
  </si>
  <si>
    <t>Ethan</t>
  </si>
  <si>
    <t>Bauer</t>
  </si>
  <si>
    <t>Account Manager</t>
  </si>
  <si>
    <t>Morgan</t>
  </si>
  <si>
    <t>Beagle</t>
  </si>
  <si>
    <t>Research Manager</t>
  </si>
  <si>
    <t>Beebe</t>
  </si>
  <si>
    <t>07030</t>
  </si>
  <si>
    <t>Sales Operations Manager</t>
  </si>
  <si>
    <t>Susan</t>
  </si>
  <si>
    <t>Beecroft</t>
  </si>
  <si>
    <t>Rachel</t>
  </si>
  <si>
    <t>Beidler</t>
  </si>
  <si>
    <t>Senior Project Manager</t>
  </si>
  <si>
    <t>Edward</t>
  </si>
  <si>
    <t>Bell</t>
  </si>
  <si>
    <t>Product Manager</t>
  </si>
  <si>
    <t>Joe</t>
  </si>
  <si>
    <t>Yu</t>
  </si>
  <si>
    <t>Emil</t>
  </si>
  <si>
    <t>Bello Pardo</t>
  </si>
  <si>
    <t>Senior Director of Research and Data Science -YouGov Blue</t>
  </si>
  <si>
    <t>Benditt</t>
  </si>
  <si>
    <t>Senior Vice President</t>
  </si>
  <si>
    <t>Elizabeth</t>
  </si>
  <si>
    <t>Betchart</t>
  </si>
  <si>
    <t>Research Associate</t>
  </si>
  <si>
    <t>Carl</t>
  </si>
  <si>
    <t>Bialik</t>
  </si>
  <si>
    <t>VP of Data Science and U.S. Politics Editor</t>
  </si>
  <si>
    <t>Reagan</t>
  </si>
  <si>
    <t>Bijou</t>
  </si>
  <si>
    <t>Chapin</t>
  </si>
  <si>
    <t>Blanchard</t>
  </si>
  <si>
    <t>Qualitative Research Manager</t>
  </si>
  <si>
    <t>Blocker</t>
  </si>
  <si>
    <t>Data Scientist</t>
  </si>
  <si>
    <t>Kai</t>
  </si>
  <si>
    <t>Bohannon</t>
  </si>
  <si>
    <t>Client Services Manager</t>
  </si>
  <si>
    <t>Bowie</t>
  </si>
  <si>
    <t>Kimberly</t>
  </si>
  <si>
    <t>Ryan</t>
  </si>
  <si>
    <t>Alexandra</t>
  </si>
  <si>
    <t>Tatijana</t>
  </si>
  <si>
    <t>Bowman</t>
  </si>
  <si>
    <t>Senior Manager</t>
  </si>
  <si>
    <t>Kelly</t>
  </si>
  <si>
    <t>Brennan</t>
  </si>
  <si>
    <t>Robert</t>
  </si>
  <si>
    <t>Brewer</t>
  </si>
  <si>
    <t>Chief Architect</t>
  </si>
  <si>
    <t>Caroline</t>
  </si>
  <si>
    <t>Saige</t>
  </si>
  <si>
    <t>Brey</t>
  </si>
  <si>
    <t>Project Manager</t>
  </si>
  <si>
    <t>Ashley</t>
  </si>
  <si>
    <t>Brown</t>
  </si>
  <si>
    <t>Senior Director</t>
  </si>
  <si>
    <t>Anna</t>
  </si>
  <si>
    <t>Burt</t>
  </si>
  <si>
    <t>06360</t>
  </si>
  <si>
    <t>Research Analyst</t>
  </si>
  <si>
    <t>Ryden</t>
  </si>
  <si>
    <t>Butler</t>
  </si>
  <si>
    <t>Global Director of Fraud Prevention</t>
  </si>
  <si>
    <t>Clayton</t>
  </si>
  <si>
    <t>Data Enablement Director</t>
  </si>
  <si>
    <t>Ronan</t>
  </si>
  <si>
    <t>Langston Butler</t>
  </si>
  <si>
    <t>Amelia</t>
  </si>
  <si>
    <t>Langston</t>
  </si>
  <si>
    <t>Tia</t>
  </si>
  <si>
    <t>Buto</t>
  </si>
  <si>
    <t>Senior Product Manager</t>
  </si>
  <si>
    <t>Camacho</t>
  </si>
  <si>
    <t>David</t>
  </si>
  <si>
    <t>Carr</t>
  </si>
  <si>
    <t>Y</t>
  </si>
  <si>
    <t>Anthem HDHP HSA 3400/0 Plan (COBRA) (Termed 01/31/2026)</t>
  </si>
  <si>
    <t>Terminated: 8/15/2024</t>
  </si>
  <si>
    <t>Javier</t>
  </si>
  <si>
    <t>Chance</t>
  </si>
  <si>
    <t>Jennifer</t>
  </si>
  <si>
    <t>Valentina</t>
  </si>
  <si>
    <t>Carratta</t>
  </si>
  <si>
    <t>07304</t>
  </si>
  <si>
    <t>B2B Events and Brand Activations Manager</t>
  </si>
  <si>
    <t>Carroll</t>
  </si>
  <si>
    <t>Sales Manager</t>
  </si>
  <si>
    <t>Jason</t>
  </si>
  <si>
    <t>Lisa</t>
  </si>
  <si>
    <t>Carter</t>
  </si>
  <si>
    <t>01945</t>
  </si>
  <si>
    <t>Managing Partner</t>
  </si>
  <si>
    <t>Gary</t>
  </si>
  <si>
    <t>Strempek</t>
  </si>
  <si>
    <t>Kaitlen</t>
  </si>
  <si>
    <t>Cassell</t>
  </si>
  <si>
    <t>Lautaro</t>
  </si>
  <si>
    <t>Cella</t>
  </si>
  <si>
    <t>Jacobs</t>
  </si>
  <si>
    <t>Cervantes</t>
  </si>
  <si>
    <t>Chadwick</t>
  </si>
  <si>
    <t>Head of US Sport - Client Services</t>
  </si>
  <si>
    <t>Skylar</t>
  </si>
  <si>
    <t>Serge</t>
  </si>
  <si>
    <t>Chavez</t>
  </si>
  <si>
    <t>Mikyhial</t>
  </si>
  <si>
    <t>Clarke</t>
  </si>
  <si>
    <t>Laura</t>
  </si>
  <si>
    <t>Cleary</t>
  </si>
  <si>
    <t>Joseph</t>
  </si>
  <si>
    <t>Connor</t>
  </si>
  <si>
    <t>Clowes</t>
  </si>
  <si>
    <t>02038</t>
  </si>
  <si>
    <t>Coleman</t>
  </si>
  <si>
    <t>Administrative Assistant - Custom Research Team</t>
  </si>
  <si>
    <t>Caitlin</t>
  </si>
  <si>
    <t>Collins</t>
  </si>
  <si>
    <t>Ann</t>
  </si>
  <si>
    <t>Comoglio</t>
  </si>
  <si>
    <t>Matthew</t>
  </si>
  <si>
    <t>Lefkowitz</t>
  </si>
  <si>
    <t>Hudson</t>
  </si>
  <si>
    <t>Corbett</t>
  </si>
  <si>
    <t>Anna-Marjorie</t>
  </si>
  <si>
    <t>Mattis</t>
  </si>
  <si>
    <t>Cory</t>
  </si>
  <si>
    <t>Costello</t>
  </si>
  <si>
    <t>Lead Data Scientist</t>
  </si>
  <si>
    <t>Levon</t>
  </si>
  <si>
    <t>Oglesby Costello</t>
  </si>
  <si>
    <t>Katherine</t>
  </si>
  <si>
    <t>Oglesby</t>
  </si>
  <si>
    <t>Joan</t>
  </si>
  <si>
    <t>Marjorie</t>
  </si>
  <si>
    <t>Cuellar</t>
  </si>
  <si>
    <t>Clara</t>
  </si>
  <si>
    <t>Cullen</t>
  </si>
  <si>
    <t>Curiel</t>
  </si>
  <si>
    <t>Senior Analyst</t>
  </si>
  <si>
    <t>Oana</t>
  </si>
  <si>
    <t>Dan</t>
  </si>
  <si>
    <t>07928</t>
  </si>
  <si>
    <t>VP Data Strategy</t>
  </si>
  <si>
    <t>Trisha</t>
  </si>
  <si>
    <t>Dang</t>
  </si>
  <si>
    <t>Ariana</t>
  </si>
  <si>
    <t>Darui</t>
  </si>
  <si>
    <t>Client Service Analyst</t>
  </si>
  <si>
    <t>Ian</t>
  </si>
  <si>
    <t>Davis</t>
  </si>
  <si>
    <t>02458</t>
  </si>
  <si>
    <t>Survey Analyst</t>
  </si>
  <si>
    <t>Bryan</t>
  </si>
  <si>
    <t>Deeney</t>
  </si>
  <si>
    <t>Staff Engineer</t>
  </si>
  <si>
    <t>Deleon</t>
  </si>
  <si>
    <t>Cathryn</t>
  </si>
  <si>
    <t>Dembek</t>
  </si>
  <si>
    <t>06478</t>
  </si>
  <si>
    <t>Pauline</t>
  </si>
  <si>
    <t>Demirev</t>
  </si>
  <si>
    <t>Senior Data Analyst</t>
  </si>
  <si>
    <t>Savana</t>
  </si>
  <si>
    <t>Dempich</t>
  </si>
  <si>
    <t>Senior Internal Communications Executive</t>
  </si>
  <si>
    <t>Pierre</t>
  </si>
  <si>
    <t>Derbier</t>
  </si>
  <si>
    <t>Eesha</t>
  </si>
  <si>
    <t>Desai</t>
  </si>
  <si>
    <t>Didier</t>
  </si>
  <si>
    <t>Deshommes</t>
  </si>
  <si>
    <t>Senior Data Engineer</t>
  </si>
  <si>
    <t>Noah</t>
  </si>
  <si>
    <t>DeYoung</t>
  </si>
  <si>
    <t>Athamjit</t>
  </si>
  <si>
    <t>Dhaddey</t>
  </si>
  <si>
    <t>Keith</t>
  </si>
  <si>
    <t>Dow</t>
  </si>
  <si>
    <t>Paul</t>
  </si>
  <si>
    <t>Duguay</t>
  </si>
  <si>
    <t>Todd</t>
  </si>
  <si>
    <t>Dupey</t>
  </si>
  <si>
    <t>Senior Vice President of Market Research</t>
  </si>
  <si>
    <t>Robin</t>
  </si>
  <si>
    <t>Eastman</t>
  </si>
  <si>
    <t>Commercial and Managing Director Latin America</t>
  </si>
  <si>
    <t>J</t>
  </si>
  <si>
    <t>Ehlinger</t>
  </si>
  <si>
    <t>Senior Survey Science Analyst I</t>
  </si>
  <si>
    <t>Wesam</t>
  </si>
  <si>
    <t>El Shaarawi</t>
  </si>
  <si>
    <t>Geoffrey</t>
  </si>
  <si>
    <t>Elzner</t>
  </si>
  <si>
    <t>Associate Director</t>
  </si>
  <si>
    <t>Alexis</t>
  </si>
  <si>
    <t>Essa</t>
  </si>
  <si>
    <t>Nikki</t>
  </si>
  <si>
    <t>Evans</t>
  </si>
  <si>
    <t>Senior Analyst - Data Products Client Services US</t>
  </si>
  <si>
    <t>Ruohnan Hu</t>
  </si>
  <si>
    <t>Evenhouse</t>
  </si>
  <si>
    <t>Senior Analytics Analyst</t>
  </si>
  <si>
    <t>Everitt</t>
  </si>
  <si>
    <t>Ross</t>
  </si>
  <si>
    <t>Ewert</t>
  </si>
  <si>
    <t>Halldorson</t>
  </si>
  <si>
    <t>Kara</t>
  </si>
  <si>
    <t>Eytcheson</t>
  </si>
  <si>
    <t>Hayden</t>
  </si>
  <si>
    <t>Kylan</t>
  </si>
  <si>
    <t>Norris</t>
  </si>
  <si>
    <t>Mark</t>
  </si>
  <si>
    <t>Fantino</t>
  </si>
  <si>
    <t>Senior VP-Head of Commercial</t>
  </si>
  <si>
    <t>Faulkner</t>
  </si>
  <si>
    <t>EVP Head of Academic and Public Affairs</t>
  </si>
  <si>
    <t>Amy</t>
  </si>
  <si>
    <t>Ferguson</t>
  </si>
  <si>
    <t>Gabriela</t>
  </si>
  <si>
    <t>Ferreyra</t>
  </si>
  <si>
    <t>Political Analyst II, YouGov Blue</t>
  </si>
  <si>
    <t>Peter</t>
  </si>
  <si>
    <t>Figueroa</t>
  </si>
  <si>
    <t>Tom</t>
  </si>
  <si>
    <t>Fisher</t>
  </si>
  <si>
    <t>Chief Commercial Officer</t>
  </si>
  <si>
    <t>Marlyna</t>
  </si>
  <si>
    <t>Stewart</t>
  </si>
  <si>
    <t>Laurie</t>
  </si>
  <si>
    <t>Flores</t>
  </si>
  <si>
    <t>Ezra</t>
  </si>
  <si>
    <t>Valencia</t>
  </si>
  <si>
    <t>Lance</t>
  </si>
  <si>
    <t>Fraenkel</t>
  </si>
  <si>
    <t>Global Head of Product Sales</t>
  </si>
  <si>
    <t>Sloane</t>
  </si>
  <si>
    <t>Zander</t>
  </si>
  <si>
    <t>Mackenzie</t>
  </si>
  <si>
    <t>Noelle</t>
  </si>
  <si>
    <t>Freeburg</t>
  </si>
  <si>
    <t>Greg</t>
  </si>
  <si>
    <t>Freedman Ellis</t>
  </si>
  <si>
    <t>Python &amp; R Developer</t>
  </si>
  <si>
    <t>Joshua</t>
  </si>
  <si>
    <t>Fry</t>
  </si>
  <si>
    <t>Python Developer</t>
  </si>
  <si>
    <t>Kendylyn</t>
  </si>
  <si>
    <t>Jared</t>
  </si>
  <si>
    <t>Furuta</t>
  </si>
  <si>
    <t>Kevin</t>
  </si>
  <si>
    <t>Garaventa</t>
  </si>
  <si>
    <t>Consuelo</t>
  </si>
  <si>
    <t>Gennaro</t>
  </si>
  <si>
    <t>Executive Assistant</t>
  </si>
  <si>
    <t>Phillip</t>
  </si>
  <si>
    <t>George</t>
  </si>
  <si>
    <t>Charlie</t>
  </si>
  <si>
    <t>Gerringer</t>
  </si>
  <si>
    <t>Senior Director Marketing Science</t>
  </si>
  <si>
    <t>Natalie</t>
  </si>
  <si>
    <t>Gilb</t>
  </si>
  <si>
    <t>Software Test Engineer</t>
  </si>
  <si>
    <t>Allison</t>
  </si>
  <si>
    <t>Gray</t>
  </si>
  <si>
    <t>Account Management Project Lead</t>
  </si>
  <si>
    <t>Emmett</t>
  </si>
  <si>
    <t>Green</t>
  </si>
  <si>
    <t>Greenfield</t>
  </si>
  <si>
    <t>Gross</t>
  </si>
  <si>
    <t>SVP Data Products, Client Services</t>
  </si>
  <si>
    <t>Giselle</t>
  </si>
  <si>
    <t>Guerra</t>
  </si>
  <si>
    <t>Muhammed Ahmed</t>
  </si>
  <si>
    <t>Hamid</t>
  </si>
  <si>
    <t>Survey Operational Analyst 1</t>
  </si>
  <si>
    <t>Handy</t>
  </si>
  <si>
    <t>Technical Lead</t>
  </si>
  <si>
    <t>Melody</t>
  </si>
  <si>
    <t>Theresa</t>
  </si>
  <si>
    <t>Nora</t>
  </si>
  <si>
    <t>Hao</t>
  </si>
  <si>
    <t>Sales Director</t>
  </si>
  <si>
    <t>Josh</t>
  </si>
  <si>
    <t>Harbaugh</t>
  </si>
  <si>
    <t>Senior Software Engineer - Frontend</t>
  </si>
  <si>
    <t>Reed</t>
  </si>
  <si>
    <t>Leah</t>
  </si>
  <si>
    <t>Elise</t>
  </si>
  <si>
    <t>Amanda</t>
  </si>
  <si>
    <t>Trevor</t>
  </si>
  <si>
    <t>Harrison</t>
  </si>
  <si>
    <t>Jayda</t>
  </si>
  <si>
    <t>Hart</t>
  </si>
  <si>
    <t>Hatoum</t>
  </si>
  <si>
    <t>Brandy</t>
  </si>
  <si>
    <t>Hecke</t>
  </si>
  <si>
    <t>VP, New Business</t>
  </si>
  <si>
    <t>Cecilia</t>
  </si>
  <si>
    <t>Heilig</t>
  </si>
  <si>
    <t>Strategic Account Executive - Sales</t>
  </si>
  <si>
    <t>Scarlett</t>
  </si>
  <si>
    <t>Thomas</t>
  </si>
  <si>
    <t>Canyen</t>
  </si>
  <si>
    <t>Heimuli</t>
  </si>
  <si>
    <t>Peck</t>
  </si>
  <si>
    <t>Gabriel</t>
  </si>
  <si>
    <t>Heinemann</t>
  </si>
  <si>
    <t>Kellie</t>
  </si>
  <si>
    <t>Helm</t>
  </si>
  <si>
    <t>Kembly</t>
  </si>
  <si>
    <t>Henderson</t>
  </si>
  <si>
    <t>Jonathan</t>
  </si>
  <si>
    <t>Hering</t>
  </si>
  <si>
    <t>Andrew</t>
  </si>
  <si>
    <t>Katy</t>
  </si>
  <si>
    <t>Jada</t>
  </si>
  <si>
    <t>Miles</t>
  </si>
  <si>
    <t>Higdon</t>
  </si>
  <si>
    <t>Associate Research Director</t>
  </si>
  <si>
    <t>Pia</t>
  </si>
  <si>
    <t>Mendoza</t>
  </si>
  <si>
    <t>Jack</t>
  </si>
  <si>
    <t>Higgins</t>
  </si>
  <si>
    <t>Randolph</t>
  </si>
  <si>
    <t>Hill</t>
  </si>
  <si>
    <t>Kerri</t>
  </si>
  <si>
    <t>Holiman</t>
  </si>
  <si>
    <t>Zachary</t>
  </si>
  <si>
    <t>Holloway</t>
  </si>
  <si>
    <t>Alexander</t>
  </si>
  <si>
    <t>Holst</t>
  </si>
  <si>
    <t>Software Engineer</t>
  </si>
  <si>
    <t>Samuel</t>
  </si>
  <si>
    <t>Hooper</t>
  </si>
  <si>
    <t>Client Services Analyst</t>
  </si>
  <si>
    <t>Allen</t>
  </si>
  <si>
    <t>Houston</t>
  </si>
  <si>
    <t>06417</t>
  </si>
  <si>
    <t>Public Relations Lead-Americas</t>
  </si>
  <si>
    <t>Sylvie</t>
  </si>
  <si>
    <t>Imogen</t>
  </si>
  <si>
    <t>Huang</t>
  </si>
  <si>
    <t>Survey Operations Manager</t>
  </si>
  <si>
    <t>Corey</t>
  </si>
  <si>
    <t>William</t>
  </si>
  <si>
    <t>Hunt</t>
  </si>
  <si>
    <t>Front - End Technical Lead</t>
  </si>
  <si>
    <t>Sheldon</t>
  </si>
  <si>
    <t>Lang</t>
  </si>
  <si>
    <t>Candace</t>
  </si>
  <si>
    <t>01821</t>
  </si>
  <si>
    <t>VP, Research</t>
  </si>
  <si>
    <t>Gabrielle</t>
  </si>
  <si>
    <t>Ilenstine</t>
  </si>
  <si>
    <t>Business Title Panel Operations - Group Panel Manager</t>
  </si>
  <si>
    <t>Iwamiya</t>
  </si>
  <si>
    <t>Lily</t>
  </si>
  <si>
    <t>Tasmiyah</t>
  </si>
  <si>
    <t>Jaffer</t>
  </si>
  <si>
    <t>Syed</t>
  </si>
  <si>
    <t>Naqvi</t>
  </si>
  <si>
    <t>Marc</t>
  </si>
  <si>
    <t>Jameson</t>
  </si>
  <si>
    <t>React Developer</t>
  </si>
  <si>
    <t>Emma</t>
  </si>
  <si>
    <t>Janke</t>
  </si>
  <si>
    <t>Craig</t>
  </si>
  <si>
    <t>Jensen</t>
  </si>
  <si>
    <t>06060</t>
  </si>
  <si>
    <t>Jocelyn</t>
  </si>
  <si>
    <t>Owen</t>
  </si>
  <si>
    <t>Jobling</t>
  </si>
  <si>
    <t>Manager - Data Products Client Services</t>
  </si>
  <si>
    <t>Bradley</t>
  </si>
  <si>
    <t>Jones</t>
  </si>
  <si>
    <t>Landyn</t>
  </si>
  <si>
    <t>Jordan</t>
  </si>
  <si>
    <t>Sales Coordinator</t>
  </si>
  <si>
    <t>Amalea</t>
  </si>
  <si>
    <t>Jubara</t>
  </si>
  <si>
    <t>Survey Operations Analyst I</t>
  </si>
  <si>
    <t>Grace</t>
  </si>
  <si>
    <t>Jillian</t>
  </si>
  <si>
    <t>Kennelly</t>
  </si>
  <si>
    <t>06712</t>
  </si>
  <si>
    <t>Violet</t>
  </si>
  <si>
    <t>Jeffrey</t>
  </si>
  <si>
    <t>Ketz</t>
  </si>
  <si>
    <t>Senior Manager Marketing Science</t>
  </si>
  <si>
    <t>Kimbark</t>
  </si>
  <si>
    <t>Tyler</t>
  </si>
  <si>
    <t>Dylan</t>
  </si>
  <si>
    <t>Samantha</t>
  </si>
  <si>
    <t>Jonah</t>
  </si>
  <si>
    <t>King</t>
  </si>
  <si>
    <t>Senior Political Analyst</t>
  </si>
  <si>
    <t>Ekaterina</t>
  </si>
  <si>
    <t>Kingston</t>
  </si>
  <si>
    <t>Corporate Controller - Americas</t>
  </si>
  <si>
    <t>Kitaruth</t>
  </si>
  <si>
    <t>VP Panel Growth</t>
  </si>
  <si>
    <t>Koch</t>
  </si>
  <si>
    <t>Survey Operations Analyst II</t>
  </si>
  <si>
    <t>Katie</t>
  </si>
  <si>
    <t>Krumbholz</t>
  </si>
  <si>
    <t>Prasad</t>
  </si>
  <si>
    <t>Kuberkar</t>
  </si>
  <si>
    <t>07901</t>
  </si>
  <si>
    <t>Sales Analyst</t>
  </si>
  <si>
    <t>Glen</t>
  </si>
  <si>
    <t>Kushner</t>
  </si>
  <si>
    <t>Head of Product Growth - US</t>
  </si>
  <si>
    <t>Max</t>
  </si>
  <si>
    <t>Lilah</t>
  </si>
  <si>
    <t>LaMantia</t>
  </si>
  <si>
    <t>Manager, Client Services</t>
  </si>
  <si>
    <t>Thedore</t>
  </si>
  <si>
    <t>Landsman</t>
  </si>
  <si>
    <t>Larson</t>
  </si>
  <si>
    <t>Lascombe</t>
  </si>
  <si>
    <t>Sr Software Engineer</t>
  </si>
  <si>
    <t>Caleb</t>
  </si>
  <si>
    <t>Laverack</t>
  </si>
  <si>
    <t>Team Leader - Panel Operations</t>
  </si>
  <si>
    <t>Lawhorne</t>
  </si>
  <si>
    <t>Survey Analytics Analyst II</t>
  </si>
  <si>
    <t>Jacob</t>
  </si>
  <si>
    <t>Sally</t>
  </si>
  <si>
    <t>Li</t>
  </si>
  <si>
    <t>Alynda</t>
  </si>
  <si>
    <t>Lingwood</t>
  </si>
  <si>
    <t>Director Marketing Science</t>
  </si>
  <si>
    <t>Llaguno</t>
  </si>
  <si>
    <t>Loftus</t>
  </si>
  <si>
    <t>Miao</t>
  </si>
  <si>
    <t>Long</t>
  </si>
  <si>
    <t>Product Manager - Sports, E-Sports, and Gaming</t>
  </si>
  <si>
    <t>Bernadette</t>
  </si>
  <si>
    <t>Longart Gonzalez</t>
  </si>
  <si>
    <t>VP Head of Client Engagement Management</t>
  </si>
  <si>
    <t>Marisol</t>
  </si>
  <si>
    <t>Maher Longart</t>
  </si>
  <si>
    <t>Sidney</t>
  </si>
  <si>
    <t>Lopez</t>
  </si>
  <si>
    <t>Senior Client Services Analyst</t>
  </si>
  <si>
    <t>Lorenzen</t>
  </si>
  <si>
    <t>Nighat</t>
  </si>
  <si>
    <t>Lotia</t>
  </si>
  <si>
    <t>Accounts Receivable Manager</t>
  </si>
  <si>
    <t>Lowe</t>
  </si>
  <si>
    <t>Cynthia</t>
  </si>
  <si>
    <t>Lu</t>
  </si>
  <si>
    <t>Christopher</t>
  </si>
  <si>
    <t>Lubniewski</t>
  </si>
  <si>
    <t>07727</t>
  </si>
  <si>
    <t>Executive Vice President of Sales</t>
  </si>
  <si>
    <t>Monica</t>
  </si>
  <si>
    <t>Lucas Sacta</t>
  </si>
  <si>
    <t>Lundquist</t>
  </si>
  <si>
    <t>06470</t>
  </si>
  <si>
    <t>Edmund</t>
  </si>
  <si>
    <t>Elaine</t>
  </si>
  <si>
    <t>Alicia</t>
  </si>
  <si>
    <t>Macler</t>
  </si>
  <si>
    <t>Iftaker</t>
  </si>
  <si>
    <t>Mahamud</t>
  </si>
  <si>
    <t>Karen</t>
  </si>
  <si>
    <t>Malcolm</t>
  </si>
  <si>
    <t>Administrative Associate - Sales</t>
  </si>
  <si>
    <t>Malecki</t>
  </si>
  <si>
    <t>Vice President of Analytics</t>
  </si>
  <si>
    <t>Yonatan</t>
  </si>
  <si>
    <t>Margalit</t>
  </si>
  <si>
    <t>Senior Research Analyst</t>
  </si>
  <si>
    <t>Ray</t>
  </si>
  <si>
    <t>Martin</t>
  </si>
  <si>
    <t>07020</t>
  </si>
  <si>
    <t>Chief Executive Officer, Americas</t>
  </si>
  <si>
    <t>Arabella</t>
  </si>
  <si>
    <t>Christina</t>
  </si>
  <si>
    <t>Gaitanos</t>
  </si>
  <si>
    <t>Julissa</t>
  </si>
  <si>
    <t>Martinez</t>
  </si>
  <si>
    <t>Analytics Senior Director, Scientific Research Group</t>
  </si>
  <si>
    <t>Jazmyn</t>
  </si>
  <si>
    <t>Flores Martinez</t>
  </si>
  <si>
    <t>Jazlyn</t>
  </si>
  <si>
    <t>Luka</t>
  </si>
  <si>
    <t>HR Operations Specialist</t>
  </si>
  <si>
    <t>Mona</t>
  </si>
  <si>
    <t>Matsumoto Ryan</t>
  </si>
  <si>
    <t>May</t>
  </si>
  <si>
    <t>03244</t>
  </si>
  <si>
    <t>Kempton</t>
  </si>
  <si>
    <t>McCarty</t>
  </si>
  <si>
    <t>McConnell</t>
  </si>
  <si>
    <t>Client Service Senior Analyst</t>
  </si>
  <si>
    <t>McGuire</t>
  </si>
  <si>
    <t>Miller</t>
  </si>
  <si>
    <t>Sophie</t>
  </si>
  <si>
    <t>Stephens</t>
  </si>
  <si>
    <t>McVay</t>
  </si>
  <si>
    <t>Melchiorre</t>
  </si>
  <si>
    <t>06066</t>
  </si>
  <si>
    <t>Mertz</t>
  </si>
  <si>
    <t>Senior Analytics Engineer</t>
  </si>
  <si>
    <t>Nicholas</t>
  </si>
  <si>
    <t>Metzger</t>
  </si>
  <si>
    <t>Regional Financial Accountant</t>
  </si>
  <si>
    <t>Roger</t>
  </si>
  <si>
    <t>Krista</t>
  </si>
  <si>
    <t>07701</t>
  </si>
  <si>
    <t>Senior FP&amp;A Analyst</t>
  </si>
  <si>
    <t>Milliren</t>
  </si>
  <si>
    <t>Technical Project Manager</t>
  </si>
  <si>
    <t>Mimnaugh</t>
  </si>
  <si>
    <t>06111</t>
  </si>
  <si>
    <t>Montgomery</t>
  </si>
  <si>
    <t>Senior Data Journalist</t>
  </si>
  <si>
    <t>Wren</t>
  </si>
  <si>
    <t>McLain</t>
  </si>
  <si>
    <t>Rachael</t>
  </si>
  <si>
    <t>Melissa</t>
  </si>
  <si>
    <t>Moore</t>
  </si>
  <si>
    <t>Eckmair</t>
  </si>
  <si>
    <t>Daniel</t>
  </si>
  <si>
    <t>Andres</t>
  </si>
  <si>
    <t>Pena Leon</t>
  </si>
  <si>
    <t>Jeff</t>
  </si>
  <si>
    <t>Morris</t>
  </si>
  <si>
    <t>06067</t>
  </si>
  <si>
    <t>Elia</t>
  </si>
  <si>
    <t>Maxx</t>
  </si>
  <si>
    <t>Noureldin</t>
  </si>
  <si>
    <t>Moussa</t>
  </si>
  <si>
    <t>07302</t>
  </si>
  <si>
    <t>Muhlebach</t>
  </si>
  <si>
    <t>Mulvihill</t>
  </si>
  <si>
    <t>07853</t>
  </si>
  <si>
    <t>Senior Analytics Analyst II</t>
  </si>
  <si>
    <t>Roxan</t>
  </si>
  <si>
    <t>Nasiri</t>
  </si>
  <si>
    <t>Head of US Sales - Yabble</t>
  </si>
  <si>
    <t>Jerrod</t>
  </si>
  <si>
    <t>Nelson</t>
  </si>
  <si>
    <t>Report Automation Analyst</t>
  </si>
  <si>
    <t>Newell</t>
  </si>
  <si>
    <t>Marketing Manager</t>
  </si>
  <si>
    <t>Nomburg</t>
  </si>
  <si>
    <t>Chidera</t>
  </si>
  <si>
    <t>Okechukwu</t>
  </si>
  <si>
    <t>Karim</t>
  </si>
  <si>
    <t>Ellen</t>
  </si>
  <si>
    <t>Ong</t>
  </si>
  <si>
    <t>Taylor</t>
  </si>
  <si>
    <t>Orth</t>
  </si>
  <si>
    <t>Director - Survey Data Journalism</t>
  </si>
  <si>
    <t>Oswald</t>
  </si>
  <si>
    <t>Corl</t>
  </si>
  <si>
    <t>Pacheco</t>
  </si>
  <si>
    <t>Associate Project Manager</t>
  </si>
  <si>
    <t>Alessandra</t>
  </si>
  <si>
    <t>Research Manager - Tech</t>
  </si>
  <si>
    <t>Benjamin</t>
  </si>
  <si>
    <t>Paro</t>
  </si>
  <si>
    <t>VP of New Business Sales</t>
  </si>
  <si>
    <t>Parker</t>
  </si>
  <si>
    <t>Sneha</t>
  </si>
  <si>
    <t>Pasupula</t>
  </si>
  <si>
    <t>Sonal</t>
  </si>
  <si>
    <t>Patel Sheth</t>
  </si>
  <si>
    <t>07840</t>
  </si>
  <si>
    <t>Head of Legal</t>
  </si>
  <si>
    <t>Pelts</t>
  </si>
  <si>
    <t>Head of US Sport - Commercial</t>
  </si>
  <si>
    <t>Perkins</t>
  </si>
  <si>
    <t>Software Delivery Manager</t>
  </si>
  <si>
    <t>DAXTON</t>
  </si>
  <si>
    <t>PERKINS</t>
  </si>
  <si>
    <t>TRISTAN</t>
  </si>
  <si>
    <t>MARTINEZ</t>
  </si>
  <si>
    <t>MARSHALL</t>
  </si>
  <si>
    <t>COLDEN</t>
  </si>
  <si>
    <t>KRISTIN</t>
  </si>
  <si>
    <t>KNUDSON</t>
  </si>
  <si>
    <t>Scott</t>
  </si>
  <si>
    <t>Perretta</t>
  </si>
  <si>
    <t>EVP of Market Research</t>
  </si>
  <si>
    <t>Calliope</t>
  </si>
  <si>
    <t>Brooke</t>
  </si>
  <si>
    <t>Roberts</t>
  </si>
  <si>
    <t>Madison</t>
  </si>
  <si>
    <t>Pezzella</t>
  </si>
  <si>
    <t>Rebecca</t>
  </si>
  <si>
    <t>Phillips</t>
  </si>
  <si>
    <t>SVP of Research Delivery and Survey Science</t>
  </si>
  <si>
    <t>Pike</t>
  </si>
  <si>
    <t>Global Head of YG Sport</t>
  </si>
  <si>
    <t>Frances</t>
  </si>
  <si>
    <t>Charles</t>
  </si>
  <si>
    <t>Plaster</t>
  </si>
  <si>
    <t>Sofia</t>
  </si>
  <si>
    <t>Pretell</t>
  </si>
  <si>
    <t>Graphic Design Report Analyst</t>
  </si>
  <si>
    <t>Richard</t>
  </si>
  <si>
    <t>Price</t>
  </si>
  <si>
    <t>Natalia</t>
  </si>
  <si>
    <t>Quintana</t>
  </si>
  <si>
    <t>Kirsten</t>
  </si>
  <si>
    <t>Rasmussen</t>
  </si>
  <si>
    <t>Survey Logistics Analyst</t>
  </si>
  <si>
    <t>Senior Director of Polling, YouGov Blue</t>
  </si>
  <si>
    <t>Razza</t>
  </si>
  <si>
    <t>Chief Product Officer</t>
  </si>
  <si>
    <t>Kenneth</t>
  </si>
  <si>
    <t>Rebella</t>
  </si>
  <si>
    <t>Senior Manager - External Fieldwork Management Operations</t>
  </si>
  <si>
    <t>Bhagya Lakshmi</t>
  </si>
  <si>
    <t>Reddy</t>
  </si>
  <si>
    <t>Brian</t>
  </si>
  <si>
    <t>Reitz</t>
  </si>
  <si>
    <t>Senior Marketing Manager</t>
  </si>
  <si>
    <t>Resnick</t>
  </si>
  <si>
    <t>Russell</t>
  </si>
  <si>
    <t>Victoria</t>
  </si>
  <si>
    <t>Rosemary</t>
  </si>
  <si>
    <t>Francesca</t>
  </si>
  <si>
    <t>Rex</t>
  </si>
  <si>
    <t>Program Manager</t>
  </si>
  <si>
    <t>Ritchie</t>
  </si>
  <si>
    <t>Aengus</t>
  </si>
  <si>
    <t>Anita</t>
  </si>
  <si>
    <t>Nigam-Ritchie</t>
  </si>
  <si>
    <t>Ginger</t>
  </si>
  <si>
    <t>Senior HR Advisor</t>
  </si>
  <si>
    <t>Ariel</t>
  </si>
  <si>
    <t>Rivera</t>
  </si>
  <si>
    <t>Senior Desktop Support Technician</t>
  </si>
  <si>
    <t>Richard Douglas</t>
  </si>
  <si>
    <t>Rivers</t>
  </si>
  <si>
    <t>Chief Scientist</t>
  </si>
  <si>
    <t>Rode</t>
  </si>
  <si>
    <t>Research Director - Sport</t>
  </si>
  <si>
    <t>Everson</t>
  </si>
  <si>
    <t>Easton</t>
  </si>
  <si>
    <t>Roell</t>
  </si>
  <si>
    <t>Senior Sales Director</t>
  </si>
  <si>
    <t>James</t>
  </si>
  <si>
    <t>Rosenthal</t>
  </si>
  <si>
    <t>Rossell Hayes</t>
  </si>
  <si>
    <t>Flavia</t>
  </si>
  <si>
    <t>06820</t>
  </si>
  <si>
    <t>Terminated: 2/14/2025</t>
  </si>
  <si>
    <t>Kincaid</t>
  </si>
  <si>
    <t>Lesley</t>
  </si>
  <si>
    <t>Killian</t>
  </si>
  <si>
    <t>Cormac</t>
  </si>
  <si>
    <t>Sansone</t>
  </si>
  <si>
    <t>06457</t>
  </si>
  <si>
    <t>Catherine</t>
  </si>
  <si>
    <t>Anne</t>
  </si>
  <si>
    <t>Marijana</t>
  </si>
  <si>
    <t>Sarac</t>
  </si>
  <si>
    <t>Chief of Staff</t>
  </si>
  <si>
    <t>Tamara</t>
  </si>
  <si>
    <t>Saxman</t>
  </si>
  <si>
    <t>Senior Manager, Audience Data</t>
  </si>
  <si>
    <t>Schaub</t>
  </si>
  <si>
    <t>Dare</t>
  </si>
  <si>
    <t>Schenck</t>
  </si>
  <si>
    <t>VP of Account Management-US</t>
  </si>
  <si>
    <t>Schilling</t>
  </si>
  <si>
    <t>Scholnick</t>
  </si>
  <si>
    <t>Analyst II, Scientific Research Group</t>
  </si>
  <si>
    <t>Alexandria</t>
  </si>
  <si>
    <t>Seamster</t>
  </si>
  <si>
    <t>Sermarini</t>
  </si>
  <si>
    <t>Lawrence</t>
  </si>
  <si>
    <t>Shannon Missal</t>
  </si>
  <si>
    <t>Head of Research</t>
  </si>
  <si>
    <t>Shannon-Missal</t>
  </si>
  <si>
    <t>Shawn</t>
  </si>
  <si>
    <t>Sharnowski</t>
  </si>
  <si>
    <t>Shevchenko</t>
  </si>
  <si>
    <t>06441</t>
  </si>
  <si>
    <t>Macie</t>
  </si>
  <si>
    <t>Shewmaker</t>
  </si>
  <si>
    <t>Global Qualitative Director - US Lead</t>
  </si>
  <si>
    <t>Marley</t>
  </si>
  <si>
    <t>Lucy</t>
  </si>
  <si>
    <t>Drew</t>
  </si>
  <si>
    <t>Marissa</t>
  </si>
  <si>
    <t>Shih</t>
  </si>
  <si>
    <t>Senior Vice President, SRG</t>
  </si>
  <si>
    <t>Jessica</t>
  </si>
  <si>
    <t>Showalter</t>
  </si>
  <si>
    <t>Silver</t>
  </si>
  <si>
    <t>Ari</t>
  </si>
  <si>
    <t>Singh</t>
  </si>
  <si>
    <t>Rishendra</t>
  </si>
  <si>
    <t>Sovannroth</t>
  </si>
  <si>
    <t>Siv</t>
  </si>
  <si>
    <t>Project Lead</t>
  </si>
  <si>
    <t>Nathan</t>
  </si>
  <si>
    <t>Smith</t>
  </si>
  <si>
    <t>Customer Success Manager</t>
  </si>
  <si>
    <t>Lydia</t>
  </si>
  <si>
    <t>Jamie</t>
  </si>
  <si>
    <t>Anaya</t>
  </si>
  <si>
    <t>Justin</t>
  </si>
  <si>
    <t>Sodano</t>
  </si>
  <si>
    <t>Client Success Director</t>
  </si>
  <si>
    <t>Maeve</t>
  </si>
  <si>
    <t>Matteo</t>
  </si>
  <si>
    <t>Jackson</t>
  </si>
  <si>
    <t>Lindsey</t>
  </si>
  <si>
    <t>Srinidhi</t>
  </si>
  <si>
    <t>Srinivasan</t>
  </si>
  <si>
    <t>YG Not Graded</t>
  </si>
  <si>
    <t>Reuben</t>
  </si>
  <si>
    <t>Staines</t>
  </si>
  <si>
    <t>07661</t>
  </si>
  <si>
    <t>Head of Marketing, Americas</t>
  </si>
  <si>
    <t>Gemma</t>
  </si>
  <si>
    <t>Leana</t>
  </si>
  <si>
    <t>Young Kun</t>
  </si>
  <si>
    <t>Kim</t>
  </si>
  <si>
    <t>Jozef</t>
  </si>
  <si>
    <t>Stasiuk</t>
  </si>
  <si>
    <t>Marzena</t>
  </si>
  <si>
    <t>Stevens</t>
  </si>
  <si>
    <t>Client Service Senior Analyst - YouGov Sport</t>
  </si>
  <si>
    <t>Isaiah</t>
  </si>
  <si>
    <t>Stokes</t>
  </si>
  <si>
    <t>06489</t>
  </si>
  <si>
    <t>Alissa</t>
  </si>
  <si>
    <t>Stollwerk</t>
  </si>
  <si>
    <t>Vice President - YouGov Blue</t>
  </si>
  <si>
    <t>Dara</t>
  </si>
  <si>
    <t>Cohen</t>
  </si>
  <si>
    <t>Zackary</t>
  </si>
  <si>
    <t>Stovall</t>
  </si>
  <si>
    <t>Isabelle</t>
  </si>
  <si>
    <t>Stripling</t>
  </si>
  <si>
    <t>Stults</t>
  </si>
  <si>
    <t>Terminated: 6/20/2024</t>
  </si>
  <si>
    <t>Munia</t>
  </si>
  <si>
    <t>Sunjid</t>
  </si>
  <si>
    <t>Swing</t>
  </si>
  <si>
    <t>Megan</t>
  </si>
  <si>
    <t>Sympson</t>
  </si>
  <si>
    <t>Tate</t>
  </si>
  <si>
    <t>Templeton</t>
  </si>
  <si>
    <t>Inez</t>
  </si>
  <si>
    <t>Bangs</t>
  </si>
  <si>
    <t>Gregory</t>
  </si>
  <si>
    <t>Bethany</t>
  </si>
  <si>
    <t>Thompson</t>
  </si>
  <si>
    <t>Sydney</t>
  </si>
  <si>
    <t>Janet</t>
  </si>
  <si>
    <t>Thorpe</t>
  </si>
  <si>
    <t>Josephine</t>
  </si>
  <si>
    <t>Timm</t>
  </si>
  <si>
    <t>Tolany</t>
  </si>
  <si>
    <t>Tolley</t>
  </si>
  <si>
    <t>DBA and Systems Administrator</t>
  </si>
  <si>
    <t>Murphy</t>
  </si>
  <si>
    <t>Tripp</t>
  </si>
  <si>
    <t>Brittany</t>
  </si>
  <si>
    <t>Trollope</t>
  </si>
  <si>
    <t>Senior Software Engineer</t>
  </si>
  <si>
    <t>Diane</t>
  </si>
  <si>
    <t>Barrowman</t>
  </si>
  <si>
    <t>Sharon</t>
  </si>
  <si>
    <t>Turlington</t>
  </si>
  <si>
    <t>VP, Data Analytics</t>
  </si>
  <si>
    <t>Liam</t>
  </si>
  <si>
    <t>Umadhay</t>
  </si>
  <si>
    <t>Total Rewards Manager</t>
  </si>
  <si>
    <t>Stephen</t>
  </si>
  <si>
    <t>Utych</t>
  </si>
  <si>
    <t>Data Products - Research Survey Editor</t>
  </si>
  <si>
    <t>Simon</t>
  </si>
  <si>
    <t>Margot</t>
  </si>
  <si>
    <t>Henry</t>
  </si>
  <si>
    <t>Mara</t>
  </si>
  <si>
    <t>Vaccaro</t>
  </si>
  <si>
    <t>Van Parys</t>
  </si>
  <si>
    <t>Chief Platform Officer</t>
  </si>
  <si>
    <t>Vandevert</t>
  </si>
  <si>
    <t>Jade</t>
  </si>
  <si>
    <t>Vasquez</t>
  </si>
  <si>
    <t>Vesga</t>
  </si>
  <si>
    <t>Kristyn</t>
  </si>
  <si>
    <t>Halvorson</t>
  </si>
  <si>
    <t>Olivia</t>
  </si>
  <si>
    <t>Walters</t>
  </si>
  <si>
    <t>Zheng</t>
  </si>
  <si>
    <t>Wang</t>
  </si>
  <si>
    <t xml:space="preserve">Finance Manager </t>
  </si>
  <si>
    <t>Products Client Services US</t>
  </si>
  <si>
    <t>Jasper</t>
  </si>
  <si>
    <t>Sr Manager, Report Automation</t>
  </si>
  <si>
    <t>Angie</t>
  </si>
  <si>
    <t>Director of SRG Operations</t>
  </si>
  <si>
    <t>Rian</t>
  </si>
  <si>
    <t>Weinstein</t>
  </si>
  <si>
    <t>07731</t>
  </si>
  <si>
    <t>Emmie</t>
  </si>
  <si>
    <t>Wetzel</t>
  </si>
  <si>
    <t>White</t>
  </si>
  <si>
    <t>Whitehead</t>
  </si>
  <si>
    <t>Account Executive</t>
  </si>
  <si>
    <t>Wilkes</t>
  </si>
  <si>
    <t>06897</t>
  </si>
  <si>
    <t>Williams</t>
  </si>
  <si>
    <t>Senior Director of Polling</t>
  </si>
  <si>
    <t>Wilson</t>
  </si>
  <si>
    <t>Americas &amp; UK People Partner Lead</t>
  </si>
  <si>
    <t>Woods</t>
  </si>
  <si>
    <t>Finance and Sales Assistant</t>
  </si>
  <si>
    <t>Isabella</t>
  </si>
  <si>
    <t>Doran</t>
  </si>
  <si>
    <t>Tsuyoshi</t>
  </si>
  <si>
    <t>Yoneda</t>
  </si>
  <si>
    <t>Jenny</t>
  </si>
  <si>
    <t>Yoo</t>
  </si>
  <si>
    <t>Youn</t>
  </si>
  <si>
    <t>Claire</t>
  </si>
  <si>
    <t>Zedelius</t>
  </si>
  <si>
    <t>Zhang</t>
  </si>
  <si>
    <t>Xinling</t>
  </si>
  <si>
    <t>Mia</t>
  </si>
  <si>
    <t>Shi</t>
  </si>
  <si>
    <t>Di</t>
  </si>
  <si>
    <t>Zhiyi</t>
  </si>
  <si>
    <t xml:space="preserve">Associate Dir Analytics </t>
  </si>
  <si>
    <t>Mine</t>
  </si>
  <si>
    <t>Zhao</t>
  </si>
  <si>
    <t>Zimmerli</t>
  </si>
  <si>
    <t>06825</t>
  </si>
  <si>
    <t>Terminated: 8/5/2024</t>
  </si>
  <si>
    <t>Lina</t>
  </si>
  <si>
    <t>Zou</t>
  </si>
  <si>
    <t>Senior Survey Research Analyst</t>
  </si>
  <si>
    <t>Zachariah</t>
  </si>
  <si>
    <t>Zussman Dobbins</t>
  </si>
  <si>
    <t>Senior Technical Product Manager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</si>
</sst>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8" formatCode="&quot;$&quot;#,##0.00_);[Red]\(&quot;$&quot;#,##0.00\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"/>
    <numFmt numFmtId="179" formatCode="_(&quot;$&quot;* #,##0_);_(&quot;$&quot;* \(#,##0\);_(&quot;$&quot;* &quot;-&quot;??_);_(@_)"/>
    <numFmt numFmtId="180" formatCode="m/d/yyyy;@"/>
  </numFmts>
  <fonts count="37">
    <font>
      <sz val="10"/>
      <name val="Arial"/>
      <charset val="134"/>
    </font>
    <font>
      <i/>
      <sz val="10"/>
      <name val="Arial"/>
      <charset val="134"/>
    </font>
    <font>
      <sz val="12"/>
      <name val="Calibri"/>
      <charset val="134"/>
    </font>
    <font>
      <b/>
      <sz val="18"/>
      <name val="Arial"/>
      <charset val="134"/>
    </font>
    <font>
      <b/>
      <sz val="17"/>
      <name val="Arial"/>
      <charset val="134"/>
    </font>
    <font>
      <b/>
      <sz val="14"/>
      <name val="Arial"/>
      <charset val="134"/>
    </font>
    <font>
      <b/>
      <sz val="14"/>
      <color indexed="12"/>
      <name val="Arial"/>
      <charset val="134"/>
    </font>
    <font>
      <b/>
      <sz val="12"/>
      <name val="Arial"/>
      <charset val="134"/>
    </font>
    <font>
      <b/>
      <sz val="11"/>
      <name val="Arial"/>
      <charset val="134"/>
    </font>
    <font>
      <b/>
      <i/>
      <sz val="10"/>
      <name val="Arial"/>
      <charset val="134"/>
    </font>
    <font>
      <b/>
      <sz val="10"/>
      <name val="Arial"/>
      <charset val="134"/>
    </font>
    <font>
      <u/>
      <sz val="10"/>
      <color indexed="12"/>
      <name val="Arial"/>
      <charset val="134"/>
    </font>
    <font>
      <b/>
      <i/>
      <sz val="12"/>
      <name val="Arial"/>
      <charset val="134"/>
    </font>
    <font>
      <b/>
      <sz val="12"/>
      <color indexed="12"/>
      <name val="Arial"/>
      <charset val="134"/>
    </font>
    <font>
      <b/>
      <sz val="10"/>
      <color theme="0"/>
      <name val="Arial"/>
      <charset val="134"/>
    </font>
    <font>
      <b/>
      <sz val="12"/>
      <color theme="0"/>
      <name val="Calibri"/>
      <charset val="134"/>
    </font>
    <font>
      <sz val="12"/>
      <color theme="1"/>
      <name val="Calibri"/>
      <charset val="134"/>
    </font>
    <font>
      <b/>
      <sz val="1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2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18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center"/>
    </xf>
    <xf numFmtId="0" fontId="18" fillId="6" borderId="10" applyNumberFormat="0" applyFont="0" applyAlignment="0" applyProtection="0">
      <alignment vertical="center"/>
    </xf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5" fillId="0" borderId="13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14" applyNumberFormat="0" applyAlignment="0" applyProtection="0"/>
    <xf numFmtId="0" fontId="27" fillId="8" borderId="15" applyNumberFormat="0" applyAlignment="0" applyProtection="0"/>
    <xf numFmtId="0" fontId="28" fillId="8" borderId="14" applyNumberFormat="0" applyAlignment="0" applyProtection="0"/>
    <xf numFmtId="0" fontId="29" fillId="9" borderId="16" applyNumberFormat="0" applyAlignment="0" applyProtection="0"/>
    <xf numFmtId="0" fontId="30" fillId="0" borderId="17" applyNumberFormat="0" applyFill="0" applyAlignment="0" applyProtection="0"/>
    <xf numFmtId="0" fontId="31" fillId="0" borderId="18" applyNumberFormat="0" applyFill="0" applyAlignment="0" applyProtection="0"/>
    <xf numFmtId="0" fontId="32" fillId="10" borderId="0" applyNumberFormat="0" applyBorder="0" applyAlignment="0" applyProtection="0"/>
    <xf numFmtId="0" fontId="33" fillId="11" borderId="0" applyNumberFormat="0" applyBorder="0" applyAlignment="0" applyProtection="0"/>
    <xf numFmtId="0" fontId="34" fillId="12" borderId="0" applyNumberFormat="0" applyBorder="0" applyAlignment="0" applyProtection="0"/>
    <xf numFmtId="0" fontId="35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5" fillId="20" borderId="0" applyNumberFormat="0" applyBorder="0" applyAlignment="0" applyProtection="0"/>
    <xf numFmtId="0" fontId="35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5" fillId="24" borderId="0" applyNumberFormat="0" applyBorder="0" applyAlignment="0" applyProtection="0"/>
    <xf numFmtId="0" fontId="35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35" fillId="36" borderId="0" applyNumberFormat="0" applyBorder="0" applyAlignment="0" applyProtection="0"/>
    <xf numFmtId="43" fontId="0" fillId="0" borderId="0" applyFont="0" applyFill="0" applyBorder="0" applyAlignment="0" applyProtection="0"/>
    <xf numFmtId="0" fontId="18" fillId="0" borderId="0"/>
    <xf numFmtId="0" fontId="36" fillId="0" borderId="0"/>
    <xf numFmtId="0" fontId="18" fillId="6" borderId="10" applyNumberFormat="0" applyFont="0" applyAlignment="0" applyProtection="0"/>
  </cellStyleXfs>
  <cellXfs count="72">
    <xf numFmtId="0" fontId="0" fillId="0" borderId="0" xfId="0"/>
    <xf numFmtId="0" fontId="1" fillId="0" borderId="0" xfId="0" applyFont="1"/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Font="1"/>
    <xf numFmtId="58" fontId="0" fillId="0" borderId="0" xfId="0" applyNumberFormat="1" applyFont="1"/>
    <xf numFmtId="178" fontId="0" fillId="0" borderId="0" xfId="0" applyNumberFormat="1" applyFont="1"/>
    <xf numFmtId="8" fontId="0" fillId="0" borderId="0" xfId="0" applyNumberFormat="1" applyFont="1"/>
    <xf numFmtId="0" fontId="3" fillId="0" borderId="1" xfId="0" applyFont="1" applyBorder="1" applyAlignment="1">
      <alignment horizontal="center" wrapText="1"/>
    </xf>
    <xf numFmtId="0" fontId="0" fillId="0" borderId="2" xfId="0" applyBorder="1"/>
    <xf numFmtId="8" fontId="0" fillId="0" borderId="2" xfId="0" applyNumberFormat="1" applyBorder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8" fontId="4" fillId="0" borderId="0" xfId="0" applyNumberFormat="1" applyFont="1" applyAlignment="1">
      <alignment wrapText="1"/>
    </xf>
    <xf numFmtId="0" fontId="4" fillId="0" borderId="0" xfId="0" applyFont="1"/>
    <xf numFmtId="8" fontId="4" fillId="0" borderId="0" xfId="0" applyNumberFormat="1" applyFont="1"/>
    <xf numFmtId="0" fontId="5" fillId="0" borderId="0" xfId="0" applyFont="1" applyAlignment="1">
      <alignment horizontal="right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8" fontId="6" fillId="0" borderId="0" xfId="0" applyNumberFormat="1" applyFont="1"/>
    <xf numFmtId="0" fontId="5" fillId="0" borderId="0" xfId="0" applyFont="1" applyAlignment="1">
      <alignment horizontal="right" vertic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right"/>
    </xf>
    <xf numFmtId="0" fontId="7" fillId="2" borderId="3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7" fillId="2" borderId="6" xfId="0" applyFont="1" applyFill="1" applyBorder="1" applyAlignment="1">
      <alignment horizontal="center"/>
    </xf>
    <xf numFmtId="0" fontId="9" fillId="0" borderId="0" xfId="0" applyFont="1"/>
    <xf numFmtId="0" fontId="0" fillId="0" borderId="0" xfId="0" applyFont="1" applyAlignment="1">
      <alignment horizontal="center" vertical="center"/>
    </xf>
    <xf numFmtId="8" fontId="1" fillId="0" borderId="0" xfId="0" applyNumberFormat="1" applyFont="1"/>
    <xf numFmtId="0" fontId="7" fillId="3" borderId="6" xfId="0" applyFont="1" applyFill="1" applyBorder="1" applyAlignment="1">
      <alignment horizontal="center"/>
    </xf>
    <xf numFmtId="0" fontId="0" fillId="0" borderId="0" xfId="0" applyFont="1" applyAlignment="1">
      <alignment wrapText="1"/>
    </xf>
    <xf numFmtId="0" fontId="11" fillId="3" borderId="6" xfId="6" applyFill="1" applyBorder="1" applyAlignment="1" applyProtection="1">
      <alignment horizontal="center"/>
    </xf>
    <xf numFmtId="0" fontId="11" fillId="0" borderId="0" xfId="6" applyFont="1" applyFill="1" applyBorder="1" applyAlignment="1" applyProtection="1">
      <alignment horizontal="left"/>
    </xf>
    <xf numFmtId="0" fontId="12" fillId="0" borderId="0" xfId="0" applyFont="1" applyAlignment="1">
      <alignment horizontal="right"/>
    </xf>
    <xf numFmtId="58" fontId="7" fillId="2" borderId="3" xfId="0" applyNumberFormat="1" applyFont="1" applyFill="1" applyBorder="1" applyAlignment="1">
      <alignment horizontal="center"/>
    </xf>
    <xf numFmtId="58" fontId="7" fillId="2" borderId="5" xfId="0" applyNumberFormat="1" applyFont="1" applyFill="1" applyBorder="1" applyAlignment="1">
      <alignment horizontal="center"/>
    </xf>
    <xf numFmtId="58" fontId="13" fillId="0" borderId="0" xfId="0" applyNumberFormat="1" applyFont="1" applyAlignment="1">
      <alignment horizontal="center"/>
    </xf>
    <xf numFmtId="179" fontId="10" fillId="0" borderId="0" xfId="2" applyNumberFormat="1" applyFont="1" applyFill="1" applyBorder="1" applyAlignment="1">
      <alignment horizontal="center"/>
    </xf>
    <xf numFmtId="8" fontId="10" fillId="0" borderId="0" xfId="2" applyNumberFormat="1" applyFont="1" applyFill="1" applyBorder="1" applyAlignment="1">
      <alignment horizontal="center"/>
    </xf>
    <xf numFmtId="0" fontId="12" fillId="0" borderId="0" xfId="0" applyFont="1" applyAlignment="1">
      <alignment horizontal="right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4" fillId="4" borderId="6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8" fontId="14" fillId="4" borderId="7" xfId="0" applyNumberFormat="1" applyFont="1" applyFill="1" applyBorder="1" applyAlignment="1">
      <alignment horizontal="center" vertical="center" wrapText="1"/>
    </xf>
    <xf numFmtId="8" fontId="14" fillId="4" borderId="6" xfId="0" applyNumberFormat="1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8" fontId="14" fillId="4" borderId="8" xfId="0" applyNumberFormat="1" applyFont="1" applyFill="1" applyBorder="1" applyAlignment="1">
      <alignment horizontal="center" vertical="center" wrapText="1"/>
    </xf>
    <xf numFmtId="8" fontId="14" fillId="4" borderId="9" xfId="0" applyNumberFormat="1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 vertical="center"/>
    </xf>
    <xf numFmtId="180" fontId="2" fillId="0" borderId="6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 wrapText="1"/>
    </xf>
    <xf numFmtId="8" fontId="16" fillId="0" borderId="6" xfId="0" applyNumberFormat="1" applyFont="1" applyFill="1" applyBorder="1" applyAlignment="1">
      <alignment horizontal="center"/>
    </xf>
    <xf numFmtId="0" fontId="16" fillId="0" borderId="6" xfId="0" applyFont="1" applyFill="1" applyBorder="1" applyAlignment="1">
      <alignment horizontal="center"/>
    </xf>
    <xf numFmtId="0" fontId="16" fillId="0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17" fillId="5" borderId="6" xfId="0" applyFont="1" applyFill="1" applyBorder="1" applyAlignment="1">
      <alignment horizontal="center"/>
    </xf>
    <xf numFmtId="8" fontId="2" fillId="5" borderId="6" xfId="2" applyNumberFormat="1" applyFont="1" applyFill="1" applyBorder="1" applyAlignment="1">
      <alignment horizont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te 2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25400</xdr:colOff>
      <xdr:row>0</xdr:row>
      <xdr:rowOff>101600</xdr:rowOff>
    </xdr:from>
    <xdr:to>
      <xdr:col>2</xdr:col>
      <xdr:colOff>22225</xdr:colOff>
      <xdr:row>3</xdr:row>
      <xdr:rowOff>152400</xdr:rowOff>
    </xdr:to>
    <xdr:pic>
      <xdr:nvPicPr>
        <xdr:cNvPr id="2052" name="Picture 1" descr="Prestige Logo.pn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8625" y="101600"/>
          <a:ext cx="2139950" cy="53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494392</xdr:colOff>
      <xdr:row>7</xdr:row>
      <xdr:rowOff>73025</xdr:rowOff>
    </xdr:from>
    <xdr:to>
      <xdr:col>28</xdr:col>
      <xdr:colOff>1334953</xdr:colOff>
      <xdr:row>21</xdr:row>
      <xdr:rowOff>42660</xdr:rowOff>
    </xdr:to>
    <xdr:sp>
      <xdr:nvSpPr>
        <xdr:cNvPr id="3" name="TextBox 2"/>
        <xdr:cNvSpPr txBox="1"/>
      </xdr:nvSpPr>
      <xdr:spPr>
        <a:xfrm>
          <a:off x="11659870" y="1797050"/>
          <a:ext cx="24258270" cy="2750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Arial" panose="020B0604020202020204" pitchFamily="7" charset="0"/>
              <a:cs typeface="Arial" panose="020B0604020202020204" pitchFamily="7" charset="0"/>
            </a:rPr>
            <a:t>Directions:</a:t>
          </a:r>
          <a:br>
            <a:rPr lang="en-US" sz="1200" b="1">
              <a:latin typeface="Arial" panose="020B0604020202020204" pitchFamily="7" charset="0"/>
              <a:cs typeface="Arial" panose="020B0604020202020204" pitchFamily="7" charset="0"/>
            </a:rPr>
          </a:br>
          <a:br>
            <a:rPr lang="en-US" sz="1200" b="1">
              <a:latin typeface="Arial" panose="020B0604020202020204" pitchFamily="7" charset="0"/>
              <a:cs typeface="Arial" panose="020B0604020202020204" pitchFamily="7" charset="0"/>
            </a:rPr>
          </a:br>
          <a:r>
            <a:rPr lang="en-US" sz="1200" b="1">
              <a:latin typeface="Arial" panose="020B0604020202020204" pitchFamily="7" charset="0"/>
              <a:cs typeface="Arial" panose="020B0604020202020204" pitchFamily="7" charset="0"/>
            </a:rPr>
            <a:t>-Please include</a:t>
          </a:r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 dependent information as a seperate line item under employee information.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-Medical Tiers should be reflected in the following format: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b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</a:br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EO = Employee Only Coverage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ES = Employee &amp; Spouse Coverage 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EC = Employee &amp; Child(ren) Coverage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FAM = Family Coverage 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NE = Not Eligible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RC = Refusing Coverage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WO = Waived Other (Proof of Other Coverage)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WP = Waiting Period 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orkbook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ble 1"/>
      <sheetName val="Sheet1"/>
      <sheetName val="Sheet2"/>
      <sheetName val="Sheet6"/>
      <sheetName val="Sheet7"/>
      <sheetName val="Sheet3"/>
      <sheetName val="Sheet8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Subscriber Name</v>
          </cell>
          <cell r="C1" t="str">
            <v>asd</v>
          </cell>
          <cell r="D1" t="str">
            <v>sd</v>
          </cell>
          <cell r="E1" t="str">
            <v>Coverage</v>
          </cell>
          <cell r="F1" t="str">
            <v>Plan</v>
          </cell>
          <cell r="G1" t="str">
            <v>Premium</v>
          </cell>
        </row>
        <row r="2">
          <cell r="B2" t="str">
            <v>NOURABBOUD FRANK</v>
          </cell>
          <cell r="C2" t="str">
            <v>NourAbboud Frank</v>
          </cell>
          <cell r="D2" t="str">
            <v>S+DEP</v>
          </cell>
          <cell r="E2" t="str">
            <v>EC</v>
          </cell>
          <cell r="F2" t="str">
            <v>L093530003</v>
          </cell>
          <cell r="G2">
            <v>13.95</v>
          </cell>
        </row>
        <row r="3">
          <cell r="B3" t="str">
            <v>MEGHAAGARWAL</v>
          </cell>
          <cell r="C3" t="str">
            <v>MeghaAgarwal</v>
          </cell>
          <cell r="D3" t="str">
            <v>S</v>
          </cell>
          <cell r="E3" t="str">
            <v>EE</v>
          </cell>
          <cell r="F3" t="str">
            <v>L093530003</v>
          </cell>
          <cell r="G3">
            <v>8.22</v>
          </cell>
        </row>
        <row r="4">
          <cell r="B4" t="str">
            <v>BILALAKBAR</v>
          </cell>
          <cell r="C4" t="str">
            <v>BilalAkbar</v>
          </cell>
          <cell r="D4" t="str">
            <v>S</v>
          </cell>
          <cell r="E4" t="str">
            <v>EE</v>
          </cell>
          <cell r="F4" t="str">
            <v>L093530003</v>
          </cell>
          <cell r="G4">
            <v>8.22</v>
          </cell>
        </row>
        <row r="5">
          <cell r="B5" t="str">
            <v>SIMONEALDERN</v>
          </cell>
          <cell r="C5" t="str">
            <v>SimoneAldern</v>
          </cell>
          <cell r="D5" t="str">
            <v>S</v>
          </cell>
          <cell r="E5" t="str">
            <v>EE</v>
          </cell>
          <cell r="F5" t="str">
            <v>L093530003</v>
          </cell>
          <cell r="G5">
            <v>8.22</v>
          </cell>
        </row>
        <row r="6">
          <cell r="B6" t="str">
            <v>SARAALMIRA CRUZ</v>
          </cell>
          <cell r="C6" t="str">
            <v>SaraAlmira Cruz</v>
          </cell>
          <cell r="D6" t="str">
            <v>2P</v>
          </cell>
          <cell r="E6" t="str">
            <v>ES</v>
          </cell>
          <cell r="F6" t="str">
            <v>L093530003</v>
          </cell>
          <cell r="G6">
            <v>16.48</v>
          </cell>
        </row>
        <row r="7">
          <cell r="B7" t="str">
            <v>ANTHONYALTIERI</v>
          </cell>
          <cell r="C7" t="str">
            <v>AnthonyAltieri</v>
          </cell>
          <cell r="D7" t="str">
            <v>2P</v>
          </cell>
          <cell r="E7" t="str">
            <v>ES</v>
          </cell>
          <cell r="F7" t="str">
            <v>L093530003</v>
          </cell>
          <cell r="G7">
            <v>16.48</v>
          </cell>
        </row>
        <row r="8">
          <cell r="B8" t="str">
            <v>SARAHAMINI</v>
          </cell>
          <cell r="C8" t="str">
            <v>SarahAmini</v>
          </cell>
          <cell r="D8" t="str">
            <v>S</v>
          </cell>
          <cell r="E8" t="str">
            <v>EE</v>
          </cell>
          <cell r="F8" t="str">
            <v>L093530003</v>
          </cell>
          <cell r="G8">
            <v>8.22</v>
          </cell>
        </row>
        <row r="9">
          <cell r="B9" t="str">
            <v>TAMBRAANGLE</v>
          </cell>
          <cell r="C9" t="str">
            <v>TambraAngle</v>
          </cell>
          <cell r="D9" t="str">
            <v>S</v>
          </cell>
          <cell r="E9" t="str">
            <v>EE</v>
          </cell>
          <cell r="F9" t="str">
            <v>L093530003</v>
          </cell>
          <cell r="G9">
            <v>8.22</v>
          </cell>
        </row>
        <row r="10">
          <cell r="B10" t="str">
            <v>SARAHANOKE</v>
          </cell>
          <cell r="C10" t="str">
            <v>SarahAnoke</v>
          </cell>
          <cell r="D10" t="str">
            <v>2P</v>
          </cell>
          <cell r="E10" t="str">
            <v>ES</v>
          </cell>
          <cell r="F10" t="str">
            <v>L093530003</v>
          </cell>
          <cell r="G10">
            <v>16.48</v>
          </cell>
        </row>
        <row r="11">
          <cell r="B11" t="str">
            <v>MUHAMMADASAD</v>
          </cell>
          <cell r="C11" t="str">
            <v>MuhammadAsad</v>
          </cell>
          <cell r="D11" t="str">
            <v>S</v>
          </cell>
          <cell r="E11" t="str">
            <v>EE</v>
          </cell>
          <cell r="F11" t="str">
            <v>L093530003</v>
          </cell>
          <cell r="G11">
            <v>8.22</v>
          </cell>
        </row>
        <row r="12">
          <cell r="B12" t="str">
            <v>ALANAVILES</v>
          </cell>
          <cell r="C12" t="str">
            <v>AlanAviles</v>
          </cell>
          <cell r="D12" t="str">
            <v>S</v>
          </cell>
          <cell r="E12" t="str">
            <v>EE</v>
          </cell>
          <cell r="F12" t="str">
            <v>L093530003</v>
          </cell>
          <cell r="G12">
            <v>8.22</v>
          </cell>
        </row>
        <row r="13">
          <cell r="B13" t="str">
            <v>AUSTINBAILEY</v>
          </cell>
          <cell r="C13" t="str">
            <v>AustinBailey</v>
          </cell>
          <cell r="D13" t="str">
            <v>S</v>
          </cell>
          <cell r="E13" t="str">
            <v>EE</v>
          </cell>
          <cell r="F13" t="str">
            <v>L093530003</v>
          </cell>
          <cell r="G13">
            <v>8.22</v>
          </cell>
        </row>
        <row r="14">
          <cell r="B14" t="str">
            <v>DELIABAILEY</v>
          </cell>
          <cell r="C14" t="str">
            <v>DeliaBailey</v>
          </cell>
          <cell r="D14" t="str">
            <v>FAM</v>
          </cell>
          <cell r="E14" t="str">
            <v>FAM</v>
          </cell>
          <cell r="F14" t="str">
            <v>L093530003</v>
          </cell>
          <cell r="G14">
            <v>23</v>
          </cell>
        </row>
        <row r="15">
          <cell r="B15" t="str">
            <v>KENTONBARELLO</v>
          </cell>
          <cell r="C15" t="str">
            <v>KentonBarello</v>
          </cell>
          <cell r="D15" t="str">
            <v>S</v>
          </cell>
          <cell r="E15" t="str">
            <v>EE</v>
          </cell>
          <cell r="F15" t="str">
            <v>L093530003</v>
          </cell>
          <cell r="G15">
            <v>8.22</v>
          </cell>
        </row>
        <row r="16">
          <cell r="B16" t="str">
            <v>ETHANBAUER</v>
          </cell>
          <cell r="C16" t="str">
            <v>EthanBauer</v>
          </cell>
          <cell r="D16" t="str">
            <v>S</v>
          </cell>
          <cell r="E16" t="str">
            <v>EE</v>
          </cell>
          <cell r="F16" t="str">
            <v>L093530003</v>
          </cell>
          <cell r="G16">
            <v>8.22</v>
          </cell>
        </row>
        <row r="17">
          <cell r="B17" t="str">
            <v>MORGANBEAGLE</v>
          </cell>
          <cell r="C17" t="str">
            <v>MorganBeagle</v>
          </cell>
          <cell r="D17" t="str">
            <v>S</v>
          </cell>
          <cell r="E17" t="str">
            <v>EE</v>
          </cell>
          <cell r="F17" t="str">
            <v>L093530003</v>
          </cell>
          <cell r="G17">
            <v>8.22</v>
          </cell>
        </row>
        <row r="18">
          <cell r="B18" t="str">
            <v>CHARLOTTEBEEBE</v>
          </cell>
          <cell r="C18" t="str">
            <v>CharlotteBeebe</v>
          </cell>
          <cell r="D18" t="str">
            <v>S</v>
          </cell>
          <cell r="E18" t="str">
            <v>EE</v>
          </cell>
          <cell r="F18" t="str">
            <v>L093530003</v>
          </cell>
          <cell r="G18">
            <v>8.22</v>
          </cell>
        </row>
        <row r="19">
          <cell r="B19" t="str">
            <v>SUSANBEECROFT</v>
          </cell>
          <cell r="C19" t="str">
            <v>SusanBeecroft</v>
          </cell>
          <cell r="D19" t="str">
            <v>S</v>
          </cell>
          <cell r="E19" t="str">
            <v>EE</v>
          </cell>
          <cell r="F19" t="str">
            <v>L093530003</v>
          </cell>
          <cell r="G19">
            <v>8.22</v>
          </cell>
        </row>
        <row r="20">
          <cell r="B20" t="str">
            <v>RACHELBEIDLER</v>
          </cell>
          <cell r="C20" t="str">
            <v>RachelBeidler</v>
          </cell>
          <cell r="D20" t="str">
            <v>S</v>
          </cell>
          <cell r="E20" t="str">
            <v>EE</v>
          </cell>
          <cell r="F20" t="str">
            <v>L093530003</v>
          </cell>
          <cell r="G20">
            <v>8.22</v>
          </cell>
        </row>
        <row r="21">
          <cell r="B21" t="str">
            <v>EDWARDBELL</v>
          </cell>
          <cell r="C21" t="str">
            <v>EdwardBell</v>
          </cell>
          <cell r="D21" t="str">
            <v>2P</v>
          </cell>
          <cell r="E21" t="str">
            <v>ES</v>
          </cell>
          <cell r="F21" t="str">
            <v>L093530003</v>
          </cell>
          <cell r="G21">
            <v>16.48</v>
          </cell>
        </row>
        <row r="22">
          <cell r="B22" t="str">
            <v>EMILBELLO PARDO</v>
          </cell>
          <cell r="C22" t="str">
            <v>EmilBello Pardo</v>
          </cell>
          <cell r="D22" t="str">
            <v>S</v>
          </cell>
          <cell r="E22" t="str">
            <v>EE</v>
          </cell>
          <cell r="F22" t="str">
            <v>L093530003</v>
          </cell>
          <cell r="G22">
            <v>8.22</v>
          </cell>
        </row>
        <row r="23">
          <cell r="B23" t="str">
            <v>ElizabethBETCHART</v>
          </cell>
          <cell r="C23" t="str">
            <v>ElizabethBetchart</v>
          </cell>
          <cell r="D23" t="str">
            <v>S</v>
          </cell>
          <cell r="E23" t="str">
            <v>EE</v>
          </cell>
          <cell r="F23" t="str">
            <v>L093530003</v>
          </cell>
          <cell r="G23">
            <v>8.22</v>
          </cell>
        </row>
        <row r="24">
          <cell r="B24" t="str">
            <v>CARLBIALIK</v>
          </cell>
          <cell r="C24" t="str">
            <v>CarlBialik</v>
          </cell>
          <cell r="D24" t="str">
            <v>S</v>
          </cell>
          <cell r="E24" t="str">
            <v>EE</v>
          </cell>
          <cell r="F24" t="str">
            <v>L093530003</v>
          </cell>
          <cell r="G24">
            <v>8.22</v>
          </cell>
        </row>
        <row r="25">
          <cell r="B25" t="str">
            <v>REAGANBIJOU</v>
          </cell>
          <cell r="C25" t="str">
            <v>ReaganBijou</v>
          </cell>
          <cell r="D25" t="str">
            <v>S</v>
          </cell>
          <cell r="E25" t="str">
            <v>EE</v>
          </cell>
          <cell r="F25" t="str">
            <v>L093530003</v>
          </cell>
          <cell r="G25">
            <v>8.22</v>
          </cell>
        </row>
        <row r="26">
          <cell r="B26" t="str">
            <v>CHAPINBLANCHARD</v>
          </cell>
          <cell r="C26" t="str">
            <v>ChapinBlanchard</v>
          </cell>
          <cell r="D26" t="str">
            <v>S</v>
          </cell>
          <cell r="E26" t="str">
            <v>EE</v>
          </cell>
          <cell r="F26" t="str">
            <v>L093530003</v>
          </cell>
          <cell r="G26">
            <v>8.22</v>
          </cell>
        </row>
        <row r="27">
          <cell r="B27" t="str">
            <v>MICHAELBLOCKER</v>
          </cell>
          <cell r="C27" t="str">
            <v>MichaelBlocker</v>
          </cell>
          <cell r="D27" t="str">
            <v>S</v>
          </cell>
          <cell r="E27" t="str">
            <v>EE</v>
          </cell>
          <cell r="F27" t="str">
            <v>L093530003</v>
          </cell>
          <cell r="G27">
            <v>8.22</v>
          </cell>
        </row>
        <row r="28">
          <cell r="B28" t="str">
            <v>SARAHBOWIE</v>
          </cell>
          <cell r="C28" t="str">
            <v>SarahBowie</v>
          </cell>
          <cell r="D28" t="str">
            <v>FAM</v>
          </cell>
          <cell r="E28" t="str">
            <v>FAM</v>
          </cell>
          <cell r="F28" t="str">
            <v>L093530003</v>
          </cell>
          <cell r="G28">
            <v>23</v>
          </cell>
        </row>
        <row r="29">
          <cell r="B29" t="str">
            <v>TATIJANABOWMAN</v>
          </cell>
          <cell r="C29" t="str">
            <v>TatijanaBowman</v>
          </cell>
          <cell r="D29" t="str">
            <v>S</v>
          </cell>
          <cell r="E29" t="str">
            <v>EE</v>
          </cell>
          <cell r="F29" t="str">
            <v>L093530003</v>
          </cell>
          <cell r="G29">
            <v>8.22</v>
          </cell>
        </row>
        <row r="30">
          <cell r="B30" t="str">
            <v>KELLYBRENNAN</v>
          </cell>
          <cell r="C30" t="str">
            <v>KellyBrennan</v>
          </cell>
          <cell r="D30" t="str">
            <v>S</v>
          </cell>
          <cell r="E30" t="str">
            <v>EE</v>
          </cell>
          <cell r="F30" t="str">
            <v>L093530003</v>
          </cell>
          <cell r="G30">
            <v>8.22</v>
          </cell>
        </row>
        <row r="31">
          <cell r="B31" t="str">
            <v>ROBERTBREWER</v>
          </cell>
          <cell r="C31" t="str">
            <v>RobertBrewer</v>
          </cell>
          <cell r="D31" t="str">
            <v>2P</v>
          </cell>
          <cell r="E31" t="str">
            <v>ES</v>
          </cell>
          <cell r="F31" t="str">
            <v>L093530003</v>
          </cell>
          <cell r="G31">
            <v>16.48</v>
          </cell>
        </row>
        <row r="32">
          <cell r="B32" t="str">
            <v>SAIGEBREY</v>
          </cell>
          <cell r="C32" t="str">
            <v>SaigeBrey</v>
          </cell>
          <cell r="D32" t="str">
            <v>S</v>
          </cell>
          <cell r="E32" t="str">
            <v>EE</v>
          </cell>
          <cell r="F32" t="str">
            <v>L093530003</v>
          </cell>
          <cell r="G32">
            <v>8.22</v>
          </cell>
        </row>
        <row r="33">
          <cell r="B33" t="str">
            <v>ASHLEYBROWN</v>
          </cell>
          <cell r="C33" t="str">
            <v>AshleyBrown</v>
          </cell>
          <cell r="D33" t="str">
            <v>S</v>
          </cell>
          <cell r="E33" t="str">
            <v>EE</v>
          </cell>
          <cell r="F33" t="str">
            <v>L093530003</v>
          </cell>
          <cell r="G33">
            <v>8.22</v>
          </cell>
        </row>
        <row r="34">
          <cell r="B34" t="str">
            <v>ANNABURT</v>
          </cell>
          <cell r="C34" t="str">
            <v>AnnaBurt</v>
          </cell>
          <cell r="D34" t="str">
            <v>2P</v>
          </cell>
          <cell r="E34" t="str">
            <v>ES</v>
          </cell>
          <cell r="F34" t="str">
            <v>L093530003</v>
          </cell>
          <cell r="G34">
            <v>16.48</v>
          </cell>
        </row>
        <row r="35">
          <cell r="B35" t="str">
            <v>CLAYTONBUTLER</v>
          </cell>
          <cell r="C35" t="str">
            <v>ClaytonButler</v>
          </cell>
          <cell r="D35" t="str">
            <v>2P</v>
          </cell>
          <cell r="E35" t="str">
            <v>ES</v>
          </cell>
          <cell r="F35" t="str">
            <v>L093530003</v>
          </cell>
          <cell r="G35">
            <v>16.48</v>
          </cell>
        </row>
        <row r="36">
          <cell r="B36" t="str">
            <v>TIABUTO</v>
          </cell>
          <cell r="C36" t="str">
            <v>TiaButo</v>
          </cell>
          <cell r="D36" t="str">
            <v>S</v>
          </cell>
          <cell r="E36" t="str">
            <v>EE</v>
          </cell>
          <cell r="F36" t="str">
            <v>L093530003</v>
          </cell>
          <cell r="G36">
            <v>8.22</v>
          </cell>
        </row>
        <row r="37">
          <cell r="B37" t="str">
            <v>LAURENCAMACHO</v>
          </cell>
          <cell r="C37" t="str">
            <v>LaurenCamacho</v>
          </cell>
          <cell r="D37" t="str">
            <v>S</v>
          </cell>
          <cell r="E37" t="str">
            <v>EE</v>
          </cell>
          <cell r="F37" t="str">
            <v>L093530003</v>
          </cell>
          <cell r="G37">
            <v>8.22</v>
          </cell>
        </row>
        <row r="38">
          <cell r="B38" t="str">
            <v>VALENTINACARRATTA</v>
          </cell>
          <cell r="C38" t="str">
            <v>ValentinaCarratta</v>
          </cell>
          <cell r="D38" t="str">
            <v>S</v>
          </cell>
          <cell r="E38" t="str">
            <v>EE</v>
          </cell>
          <cell r="F38" t="str">
            <v>L093530003</v>
          </cell>
          <cell r="G38">
            <v>8.22</v>
          </cell>
        </row>
        <row r="39">
          <cell r="B39" t="str">
            <v>ELIZABETHCARROLL</v>
          </cell>
          <cell r="C39" t="str">
            <v>ElizabethCarroll</v>
          </cell>
          <cell r="D39" t="str">
            <v>2P</v>
          </cell>
          <cell r="E39" t="str">
            <v>ES</v>
          </cell>
          <cell r="F39" t="str">
            <v>L093530003</v>
          </cell>
          <cell r="G39">
            <v>16.48</v>
          </cell>
        </row>
        <row r="40">
          <cell r="B40" t="str">
            <v>LISACARTER</v>
          </cell>
          <cell r="C40" t="str">
            <v>LisaCarter</v>
          </cell>
          <cell r="D40" t="str">
            <v>2P</v>
          </cell>
          <cell r="E40" t="str">
            <v>ES</v>
          </cell>
          <cell r="F40" t="str">
            <v>L093530003</v>
          </cell>
          <cell r="G40">
            <v>16.48</v>
          </cell>
        </row>
        <row r="41">
          <cell r="B41" t="str">
            <v>KAITLENCASSELL</v>
          </cell>
          <cell r="C41" t="str">
            <v>KaitlenCassell</v>
          </cell>
          <cell r="D41" t="str">
            <v>S</v>
          </cell>
          <cell r="E41" t="str">
            <v>EE</v>
          </cell>
          <cell r="F41" t="str">
            <v>L093530003</v>
          </cell>
          <cell r="G41">
            <v>8.22</v>
          </cell>
        </row>
        <row r="42">
          <cell r="B42" t="str">
            <v>LAUTAROCELLA</v>
          </cell>
          <cell r="C42" t="str">
            <v>LautaroCella</v>
          </cell>
          <cell r="D42" t="str">
            <v>S</v>
          </cell>
          <cell r="E42" t="str">
            <v>EE</v>
          </cell>
          <cell r="F42" t="str">
            <v>L093530003</v>
          </cell>
          <cell r="G42">
            <v>8.22</v>
          </cell>
        </row>
        <row r="43">
          <cell r="B43" t="str">
            <v>JACOBSCERVANTES</v>
          </cell>
          <cell r="C43" t="str">
            <v>JacobsCervantes</v>
          </cell>
          <cell r="D43" t="str">
            <v>S</v>
          </cell>
          <cell r="E43" t="str">
            <v>EE</v>
          </cell>
          <cell r="F43" t="str">
            <v>L093530003</v>
          </cell>
          <cell r="G43">
            <v>8.22</v>
          </cell>
        </row>
        <row r="44">
          <cell r="B44" t="str">
            <v>DAVIDCHADWICK</v>
          </cell>
          <cell r="C44" t="str">
            <v>DavidChadwick</v>
          </cell>
          <cell r="D44" t="str">
            <v>2P</v>
          </cell>
          <cell r="E44" t="str">
            <v>ES</v>
          </cell>
          <cell r="F44" t="str">
            <v>L093530003</v>
          </cell>
          <cell r="G44">
            <v>16.48</v>
          </cell>
        </row>
        <row r="45">
          <cell r="B45" t="str">
            <v>SERGECHAVEZ</v>
          </cell>
          <cell r="C45" t="str">
            <v>SergeChavez</v>
          </cell>
          <cell r="D45" t="str">
            <v>S</v>
          </cell>
          <cell r="E45" t="str">
            <v>EE</v>
          </cell>
          <cell r="F45" t="str">
            <v>L093530003</v>
          </cell>
          <cell r="G45">
            <v>8.22</v>
          </cell>
        </row>
        <row r="46">
          <cell r="B46" t="str">
            <v>MIKYHIALCLARKE</v>
          </cell>
          <cell r="C46" t="str">
            <v>MikyhialClarke</v>
          </cell>
          <cell r="D46" t="str">
            <v>S</v>
          </cell>
          <cell r="E46" t="str">
            <v>EE</v>
          </cell>
          <cell r="F46" t="str">
            <v>L093530003</v>
          </cell>
          <cell r="G46">
            <v>8.22</v>
          </cell>
        </row>
        <row r="47">
          <cell r="B47" t="str">
            <v>LAURACLEARY</v>
          </cell>
          <cell r="C47" t="str">
            <v>LauraCleary</v>
          </cell>
          <cell r="D47" t="str">
            <v>2P</v>
          </cell>
          <cell r="E47" t="str">
            <v>ES</v>
          </cell>
          <cell r="F47" t="str">
            <v>L093530003</v>
          </cell>
          <cell r="G47">
            <v>16.48</v>
          </cell>
        </row>
        <row r="48">
          <cell r="B48" t="str">
            <v>CONNORCLOWES</v>
          </cell>
          <cell r="C48" t="str">
            <v>ConnorClowes</v>
          </cell>
          <cell r="D48" t="str">
            <v>S</v>
          </cell>
          <cell r="E48" t="str">
            <v>EE</v>
          </cell>
          <cell r="F48" t="str">
            <v>L093530003</v>
          </cell>
          <cell r="G48">
            <v>8.22</v>
          </cell>
        </row>
        <row r="49">
          <cell r="B49" t="str">
            <v>CAITLINCOLLINS</v>
          </cell>
          <cell r="C49" t="str">
            <v>CaitlinCollins</v>
          </cell>
          <cell r="D49" t="str">
            <v>S</v>
          </cell>
          <cell r="E49" t="str">
            <v>EE</v>
          </cell>
          <cell r="F49" t="str">
            <v>L093530003</v>
          </cell>
          <cell r="G49">
            <v>8.22</v>
          </cell>
        </row>
        <row r="50">
          <cell r="B50" t="str">
            <v>HUDSONCORBETT</v>
          </cell>
          <cell r="C50" t="str">
            <v>HudsonCorbett</v>
          </cell>
          <cell r="D50" t="str">
            <v>2P</v>
          </cell>
          <cell r="E50" t="str">
            <v>ES</v>
          </cell>
          <cell r="F50" t="str">
            <v>L093530003</v>
          </cell>
          <cell r="G50">
            <v>16.48</v>
          </cell>
        </row>
        <row r="51">
          <cell r="B51" t="str">
            <v>CORYCOSTELLO</v>
          </cell>
          <cell r="C51" t="str">
            <v>CoryCostello</v>
          </cell>
          <cell r="D51" t="str">
            <v>2P</v>
          </cell>
          <cell r="E51" t="str">
            <v>ES</v>
          </cell>
          <cell r="F51" t="str">
            <v>L093530003</v>
          </cell>
          <cell r="G51">
            <v>16.48</v>
          </cell>
        </row>
        <row r="52">
          <cell r="B52" t="str">
            <v>MARJORIECUELLAR</v>
          </cell>
          <cell r="C52" t="str">
            <v>MarjorieCuellar</v>
          </cell>
          <cell r="D52" t="str">
            <v>S</v>
          </cell>
          <cell r="E52" t="str">
            <v>EE</v>
          </cell>
          <cell r="F52" t="str">
            <v>L093530003</v>
          </cell>
          <cell r="G52">
            <v>8.22</v>
          </cell>
        </row>
        <row r="53">
          <cell r="B53" t="str">
            <v>JOHNCURIEL</v>
          </cell>
          <cell r="C53" t="str">
            <v>JohnCuriel</v>
          </cell>
          <cell r="D53" t="str">
            <v>S</v>
          </cell>
          <cell r="E53" t="str">
            <v>EE</v>
          </cell>
          <cell r="F53" t="str">
            <v>L093530003</v>
          </cell>
          <cell r="G53">
            <v>8.22</v>
          </cell>
        </row>
        <row r="54">
          <cell r="B54" t="str">
            <v>TRISHADANG</v>
          </cell>
          <cell r="C54" t="str">
            <v>TrishaDang</v>
          </cell>
          <cell r="D54" t="str">
            <v>S</v>
          </cell>
          <cell r="E54" t="str">
            <v>EE</v>
          </cell>
          <cell r="F54" t="str">
            <v>L093530003</v>
          </cell>
          <cell r="G54">
            <v>8.22</v>
          </cell>
        </row>
        <row r="55">
          <cell r="B55" t="str">
            <v>ARIANADARUI</v>
          </cell>
          <cell r="C55" t="str">
            <v>ArianaDarui</v>
          </cell>
          <cell r="D55" t="str">
            <v>S</v>
          </cell>
          <cell r="E55" t="str">
            <v>EE</v>
          </cell>
          <cell r="F55" t="str">
            <v>L093530003</v>
          </cell>
          <cell r="G55">
            <v>8.22</v>
          </cell>
        </row>
        <row r="56">
          <cell r="B56" t="str">
            <v>IANDAVIS</v>
          </cell>
          <cell r="C56" t="str">
            <v>IanDavis</v>
          </cell>
          <cell r="D56" t="str">
            <v>S</v>
          </cell>
          <cell r="E56" t="str">
            <v>EE</v>
          </cell>
          <cell r="F56" t="str">
            <v>L093530003</v>
          </cell>
          <cell r="G56">
            <v>8.22</v>
          </cell>
        </row>
        <row r="57">
          <cell r="B57" t="str">
            <v>BRYANDEENEY</v>
          </cell>
          <cell r="C57" t="str">
            <v>BryanDeeney</v>
          </cell>
          <cell r="D57" t="str">
            <v>S</v>
          </cell>
          <cell r="E57" t="str">
            <v>EE</v>
          </cell>
          <cell r="F57" t="str">
            <v>L093530003</v>
          </cell>
          <cell r="G57">
            <v>8.22</v>
          </cell>
        </row>
        <row r="58">
          <cell r="B58" t="str">
            <v>LAURENDELEON</v>
          </cell>
          <cell r="C58" t="str">
            <v>LaurenDeleon</v>
          </cell>
          <cell r="D58" t="str">
            <v>S</v>
          </cell>
          <cell r="E58" t="str">
            <v>EE</v>
          </cell>
          <cell r="F58" t="str">
            <v>L093530003</v>
          </cell>
          <cell r="G58">
            <v>8.22</v>
          </cell>
        </row>
        <row r="59">
          <cell r="B59" t="str">
            <v>PAULINEDEMIREV</v>
          </cell>
          <cell r="C59" t="str">
            <v>PaulineDemirev</v>
          </cell>
          <cell r="D59" t="str">
            <v>S</v>
          </cell>
          <cell r="E59" t="str">
            <v>EE</v>
          </cell>
          <cell r="F59" t="str">
            <v>L093530003</v>
          </cell>
          <cell r="G59">
            <v>8.22</v>
          </cell>
        </row>
        <row r="60">
          <cell r="B60" t="str">
            <v>SAVANADEMPICH</v>
          </cell>
          <cell r="C60" t="str">
            <v>SavanaDempich</v>
          </cell>
          <cell r="D60" t="str">
            <v>S</v>
          </cell>
          <cell r="E60" t="str">
            <v>EE</v>
          </cell>
          <cell r="F60" t="str">
            <v>L093530003</v>
          </cell>
          <cell r="G60">
            <v>8.22</v>
          </cell>
        </row>
        <row r="61">
          <cell r="B61" t="str">
            <v>PIERREDERBIER</v>
          </cell>
          <cell r="C61" t="str">
            <v>PierreDerbier</v>
          </cell>
          <cell r="D61" t="str">
            <v>S</v>
          </cell>
          <cell r="E61" t="str">
            <v>EE</v>
          </cell>
          <cell r="F61" t="str">
            <v>L093530003</v>
          </cell>
          <cell r="G61">
            <v>8.22</v>
          </cell>
        </row>
        <row r="62">
          <cell r="B62" t="str">
            <v>DIDIERDESHOMMES</v>
          </cell>
          <cell r="C62" t="str">
            <v>DidierDeshommes</v>
          </cell>
          <cell r="D62" t="str">
            <v>S</v>
          </cell>
          <cell r="E62" t="str">
            <v>EE</v>
          </cell>
          <cell r="F62" t="str">
            <v>L093530003</v>
          </cell>
          <cell r="G62">
            <v>8.22</v>
          </cell>
        </row>
        <row r="63">
          <cell r="B63" t="str">
            <v>ATHAMJITDHADDEY</v>
          </cell>
          <cell r="C63" t="str">
            <v>AthamjitDhaddey</v>
          </cell>
          <cell r="D63" t="str">
            <v>S</v>
          </cell>
          <cell r="E63" t="str">
            <v>EE</v>
          </cell>
          <cell r="F63" t="str">
            <v>L093530003</v>
          </cell>
          <cell r="G63">
            <v>8.22</v>
          </cell>
        </row>
        <row r="64">
          <cell r="B64" t="str">
            <v>KATHLEENDIETRICH</v>
          </cell>
          <cell r="C64" t="e">
            <v>#N/A</v>
          </cell>
          <cell r="D64" t="str">
            <v>S+DEP</v>
          </cell>
          <cell r="E64" t="str">
            <v>EC</v>
          </cell>
          <cell r="F64" t="str">
            <v>L093530003</v>
          </cell>
          <cell r="G64">
            <v>13.95</v>
          </cell>
        </row>
        <row r="65">
          <cell r="B65" t="str">
            <v>KEITHDOW</v>
          </cell>
          <cell r="C65" t="str">
            <v>KeithDow</v>
          </cell>
          <cell r="D65" t="str">
            <v>S</v>
          </cell>
          <cell r="E65" t="str">
            <v>EE</v>
          </cell>
          <cell r="F65" t="str">
            <v>L093530003</v>
          </cell>
          <cell r="G65">
            <v>8.22</v>
          </cell>
        </row>
        <row r="66">
          <cell r="B66" t="str">
            <v>TODDDUPEY</v>
          </cell>
          <cell r="C66" t="str">
            <v>ToddDupey</v>
          </cell>
          <cell r="D66" t="str">
            <v>2P</v>
          </cell>
          <cell r="E66" t="str">
            <v>ES</v>
          </cell>
          <cell r="F66" t="str">
            <v>L093530003</v>
          </cell>
          <cell r="G66">
            <v>16.48</v>
          </cell>
        </row>
        <row r="67">
          <cell r="B67" t="str">
            <v>WESAMEL SHAARAWI</v>
          </cell>
          <cell r="C67" t="str">
            <v>WesamEl Shaarawi</v>
          </cell>
          <cell r="D67" t="str">
            <v>S</v>
          </cell>
          <cell r="E67" t="str">
            <v>EE</v>
          </cell>
          <cell r="F67" t="str">
            <v>L093530003</v>
          </cell>
          <cell r="G67">
            <v>8.22</v>
          </cell>
        </row>
        <row r="68">
          <cell r="B68" t="str">
            <v>GEOFFREYELZNER</v>
          </cell>
          <cell r="C68" t="str">
            <v>GeoffreyElzner</v>
          </cell>
          <cell r="D68" t="str">
            <v>S</v>
          </cell>
          <cell r="E68" t="str">
            <v>EE</v>
          </cell>
          <cell r="F68" t="str">
            <v>L093530003</v>
          </cell>
          <cell r="G68">
            <v>8.22</v>
          </cell>
        </row>
        <row r="69">
          <cell r="B69" t="str">
            <v>ALEXISESSA</v>
          </cell>
          <cell r="C69" t="str">
            <v>AlexisEssa</v>
          </cell>
          <cell r="D69" t="str">
            <v>S</v>
          </cell>
          <cell r="E69" t="str">
            <v>EE</v>
          </cell>
          <cell r="F69" t="str">
            <v>L093530003</v>
          </cell>
          <cell r="G69">
            <v>8.22</v>
          </cell>
        </row>
        <row r="70">
          <cell r="B70" t="str">
            <v>NIKKIEVANS</v>
          </cell>
          <cell r="C70" t="str">
            <v>NikkiEvans</v>
          </cell>
          <cell r="D70" t="str">
            <v>S</v>
          </cell>
          <cell r="E70" t="str">
            <v>EE</v>
          </cell>
          <cell r="F70" t="str">
            <v>L093530003</v>
          </cell>
          <cell r="G70">
            <v>8.22</v>
          </cell>
        </row>
        <row r="71">
          <cell r="B71" t="str">
            <v>RUOHNAN HUEVENHOUSE</v>
          </cell>
          <cell r="C71" t="str">
            <v>Ruohnan HuEvenhouse</v>
          </cell>
          <cell r="D71" t="str">
            <v>S</v>
          </cell>
          <cell r="E71" t="str">
            <v>EE</v>
          </cell>
          <cell r="F71" t="str">
            <v>L093530003</v>
          </cell>
          <cell r="G71">
            <v>8.22</v>
          </cell>
        </row>
        <row r="72">
          <cell r="B72" t="str">
            <v>ALANEVERITT</v>
          </cell>
          <cell r="C72" t="str">
            <v>AlanEveritt</v>
          </cell>
          <cell r="D72" t="str">
            <v>S</v>
          </cell>
          <cell r="E72" t="str">
            <v>EE</v>
          </cell>
          <cell r="F72" t="str">
            <v>L093530003</v>
          </cell>
          <cell r="G72">
            <v>8.22</v>
          </cell>
        </row>
        <row r="73">
          <cell r="B73" t="str">
            <v>ROSSEWERT</v>
          </cell>
          <cell r="C73" t="str">
            <v>RossEwert</v>
          </cell>
          <cell r="D73" t="str">
            <v>2P</v>
          </cell>
          <cell r="E73" t="str">
            <v>ES</v>
          </cell>
          <cell r="F73" t="str">
            <v>L093530003</v>
          </cell>
          <cell r="G73">
            <v>16.48</v>
          </cell>
        </row>
        <row r="74">
          <cell r="B74" t="str">
            <v>MARKFANTINO</v>
          </cell>
          <cell r="C74" t="str">
            <v>MarkFantino</v>
          </cell>
          <cell r="D74" t="str">
            <v>S</v>
          </cell>
          <cell r="E74" t="str">
            <v>EE</v>
          </cell>
          <cell r="F74" t="str">
            <v>L093530003</v>
          </cell>
          <cell r="G74">
            <v>8.22</v>
          </cell>
        </row>
        <row r="75">
          <cell r="B75" t="str">
            <v>ASHLEYFAULKNER</v>
          </cell>
          <cell r="C75" t="str">
            <v>AshleyFaulkner</v>
          </cell>
          <cell r="D75" t="str">
            <v>S</v>
          </cell>
          <cell r="E75" t="str">
            <v>EE</v>
          </cell>
          <cell r="F75" t="str">
            <v>L093530003</v>
          </cell>
          <cell r="G75">
            <v>8.22</v>
          </cell>
        </row>
        <row r="76">
          <cell r="B76" t="str">
            <v>GABRIELAFERREYRA</v>
          </cell>
          <cell r="C76" t="str">
            <v>GabrielaFerreyra</v>
          </cell>
          <cell r="D76" t="str">
            <v>S</v>
          </cell>
          <cell r="E76" t="str">
            <v>EE</v>
          </cell>
          <cell r="F76" t="str">
            <v>L093530003</v>
          </cell>
          <cell r="G76">
            <v>8.22</v>
          </cell>
        </row>
        <row r="77">
          <cell r="B77" t="str">
            <v>PETERFIGUEROA</v>
          </cell>
          <cell r="C77" t="str">
            <v>PeterFigueroa</v>
          </cell>
          <cell r="D77" t="str">
            <v>S</v>
          </cell>
          <cell r="E77" t="str">
            <v>EE</v>
          </cell>
          <cell r="F77" t="str">
            <v>L093530003</v>
          </cell>
          <cell r="G77">
            <v>8.22</v>
          </cell>
        </row>
        <row r="78">
          <cell r="B78" t="str">
            <v>TOMFISHER</v>
          </cell>
          <cell r="C78" t="str">
            <v>TomFisher</v>
          </cell>
          <cell r="D78" t="str">
            <v>2P</v>
          </cell>
          <cell r="E78" t="str">
            <v>ES</v>
          </cell>
          <cell r="F78" t="str">
            <v>L093530003</v>
          </cell>
          <cell r="G78">
            <v>16.48</v>
          </cell>
        </row>
        <row r="79">
          <cell r="B79" t="str">
            <v>LAURIEFLORES</v>
          </cell>
          <cell r="C79" t="str">
            <v>LaurieFlores</v>
          </cell>
          <cell r="D79" t="str">
            <v>2P</v>
          </cell>
          <cell r="E79" t="str">
            <v>ES</v>
          </cell>
          <cell r="F79" t="str">
            <v>L093530003</v>
          </cell>
          <cell r="G79">
            <v>16.48</v>
          </cell>
        </row>
        <row r="80">
          <cell r="B80" t="str">
            <v>LANCEFRAENKEL</v>
          </cell>
          <cell r="C80" t="str">
            <v>LanceFraenkel</v>
          </cell>
          <cell r="D80" t="str">
            <v>FAM</v>
          </cell>
          <cell r="E80" t="str">
            <v>FAM</v>
          </cell>
          <cell r="F80" t="str">
            <v>L093530003</v>
          </cell>
          <cell r="G80">
            <v>23</v>
          </cell>
        </row>
        <row r="81">
          <cell r="B81" t="str">
            <v>NOELLEFREEBURG</v>
          </cell>
          <cell r="C81" t="str">
            <v>NoelleFreeburg</v>
          </cell>
          <cell r="D81" t="str">
            <v>S</v>
          </cell>
          <cell r="E81" t="str">
            <v>EE</v>
          </cell>
          <cell r="F81" t="str">
            <v>L093530003</v>
          </cell>
          <cell r="G81">
            <v>8.22</v>
          </cell>
        </row>
        <row r="82">
          <cell r="B82" t="str">
            <v>GREGFREEDMAN ELLIS</v>
          </cell>
          <cell r="C82" t="str">
            <v>GregFreedman Ellis</v>
          </cell>
          <cell r="D82" t="str">
            <v>S</v>
          </cell>
          <cell r="E82" t="str">
            <v>EE</v>
          </cell>
          <cell r="F82" t="str">
            <v>L093530003</v>
          </cell>
          <cell r="G82">
            <v>8.22</v>
          </cell>
        </row>
        <row r="83">
          <cell r="B83" t="str">
            <v>NADIAFRIGIOLA</v>
          </cell>
          <cell r="C83" t="e">
            <v>#N/A</v>
          </cell>
          <cell r="D83" t="str">
            <v>FAM</v>
          </cell>
          <cell r="E83" t="str">
            <v>FAM</v>
          </cell>
          <cell r="F83" t="str">
            <v>L093530003</v>
          </cell>
          <cell r="G83">
            <v>23</v>
          </cell>
        </row>
        <row r="84">
          <cell r="B84" t="str">
            <v>JOSHUAFRY</v>
          </cell>
          <cell r="C84" t="str">
            <v>JoshuaFry</v>
          </cell>
          <cell r="D84" t="str">
            <v>2P</v>
          </cell>
          <cell r="E84" t="str">
            <v>ES</v>
          </cell>
          <cell r="F84" t="str">
            <v>L093530003</v>
          </cell>
          <cell r="G84">
            <v>16.48</v>
          </cell>
        </row>
        <row r="85">
          <cell r="B85" t="str">
            <v>JAREDFURUTA</v>
          </cell>
          <cell r="C85" t="str">
            <v>JaredFuruta</v>
          </cell>
          <cell r="D85" t="str">
            <v>S</v>
          </cell>
          <cell r="E85" t="str">
            <v>EE</v>
          </cell>
          <cell r="F85" t="str">
            <v>L093530003</v>
          </cell>
          <cell r="G85">
            <v>8.22</v>
          </cell>
        </row>
        <row r="86">
          <cell r="B86" t="str">
            <v>KEVINGARAVENTA</v>
          </cell>
          <cell r="C86" t="str">
            <v>KevinGaraventa</v>
          </cell>
          <cell r="D86" t="str">
            <v>S</v>
          </cell>
          <cell r="E86" t="str">
            <v>EE</v>
          </cell>
          <cell r="F86" t="str">
            <v>L093530003</v>
          </cell>
          <cell r="G86">
            <v>8.22</v>
          </cell>
        </row>
        <row r="87">
          <cell r="B87" t="str">
            <v>CONSUELOGennaro</v>
          </cell>
          <cell r="C87" t="str">
            <v>ConsueloGennaro</v>
          </cell>
          <cell r="D87" t="str">
            <v>2P</v>
          </cell>
          <cell r="E87" t="str">
            <v>ES</v>
          </cell>
          <cell r="F87" t="str">
            <v>L093530003</v>
          </cell>
          <cell r="G87">
            <v>16.48</v>
          </cell>
        </row>
        <row r="88">
          <cell r="B88" t="str">
            <v>CHARLIEGERRINGER</v>
          </cell>
          <cell r="C88" t="str">
            <v>CharlieGerringer</v>
          </cell>
          <cell r="D88" t="str">
            <v>S</v>
          </cell>
          <cell r="E88" t="str">
            <v>EE</v>
          </cell>
          <cell r="F88" t="str">
            <v>L093530003</v>
          </cell>
          <cell r="G88">
            <v>8.22</v>
          </cell>
        </row>
        <row r="89">
          <cell r="B89" t="str">
            <v>NATALIEGILB</v>
          </cell>
          <cell r="C89" t="str">
            <v>NatalieGilb</v>
          </cell>
          <cell r="D89" t="str">
            <v>S</v>
          </cell>
          <cell r="E89" t="str">
            <v>EE</v>
          </cell>
          <cell r="F89" t="str">
            <v>L093530003</v>
          </cell>
          <cell r="G89">
            <v>8.22</v>
          </cell>
        </row>
        <row r="90">
          <cell r="B90" t="str">
            <v>ALLISONGRAY</v>
          </cell>
          <cell r="C90" t="str">
            <v>AllisonGray</v>
          </cell>
          <cell r="D90" t="str">
            <v>S</v>
          </cell>
          <cell r="E90" t="str">
            <v>EE</v>
          </cell>
          <cell r="F90" t="str">
            <v>L093530003</v>
          </cell>
          <cell r="G90">
            <v>8.22</v>
          </cell>
        </row>
        <row r="91">
          <cell r="B91" t="str">
            <v>MICHAELGREEN</v>
          </cell>
          <cell r="C91" t="str">
            <v>MichaelGreen</v>
          </cell>
          <cell r="D91" t="str">
            <v>S</v>
          </cell>
          <cell r="E91" t="str">
            <v>EE</v>
          </cell>
          <cell r="F91" t="str">
            <v>L093530003</v>
          </cell>
          <cell r="G91">
            <v>8.22</v>
          </cell>
        </row>
        <row r="92">
          <cell r="B92" t="str">
            <v>NICOLEGREENFIELD</v>
          </cell>
          <cell r="C92" t="str">
            <v>NicoleGreenfield</v>
          </cell>
          <cell r="D92" t="str">
            <v>S</v>
          </cell>
          <cell r="E92" t="str">
            <v>EE</v>
          </cell>
          <cell r="F92" t="str">
            <v>L093530003</v>
          </cell>
          <cell r="G92">
            <v>8.22</v>
          </cell>
        </row>
        <row r="93">
          <cell r="B93" t="str">
            <v>RYANGROSS</v>
          </cell>
          <cell r="C93" t="str">
            <v>RyanGross</v>
          </cell>
          <cell r="D93" t="str">
            <v>S</v>
          </cell>
          <cell r="E93" t="str">
            <v>EE</v>
          </cell>
          <cell r="F93" t="str">
            <v>L093530003</v>
          </cell>
          <cell r="G93">
            <v>8.22</v>
          </cell>
        </row>
        <row r="94">
          <cell r="B94" t="str">
            <v>GISELLEGUERRA</v>
          </cell>
          <cell r="C94" t="str">
            <v>GiselleGuerra</v>
          </cell>
          <cell r="D94" t="str">
            <v>S</v>
          </cell>
          <cell r="E94" t="str">
            <v>EE</v>
          </cell>
          <cell r="F94" t="str">
            <v>L093530003</v>
          </cell>
          <cell r="G94">
            <v>8.22</v>
          </cell>
        </row>
        <row r="95">
          <cell r="B95" t="str">
            <v>MUHAMMED AhmedHAMID</v>
          </cell>
          <cell r="C95" t="str">
            <v>Muhammed AhmedHamid</v>
          </cell>
          <cell r="D95" t="str">
            <v>S</v>
          </cell>
          <cell r="E95" t="str">
            <v>EE</v>
          </cell>
          <cell r="F95" t="str">
            <v>L093530003</v>
          </cell>
          <cell r="G95">
            <v>8.22</v>
          </cell>
        </row>
        <row r="96">
          <cell r="B96" t="str">
            <v>DAVIDHANDY</v>
          </cell>
          <cell r="C96" t="str">
            <v>DavidHandy</v>
          </cell>
          <cell r="D96" t="str">
            <v>FAM</v>
          </cell>
          <cell r="E96" t="str">
            <v>FAM</v>
          </cell>
          <cell r="F96" t="str">
            <v>L093530003</v>
          </cell>
          <cell r="G96">
            <v>23</v>
          </cell>
        </row>
        <row r="97">
          <cell r="B97" t="str">
            <v>NORAHAO</v>
          </cell>
          <cell r="C97" t="str">
            <v>NoraHao</v>
          </cell>
          <cell r="D97" t="str">
            <v>S</v>
          </cell>
          <cell r="E97" t="str">
            <v>EE</v>
          </cell>
          <cell r="F97" t="str">
            <v>L093530003</v>
          </cell>
          <cell r="G97">
            <v>8.22</v>
          </cell>
        </row>
        <row r="98">
          <cell r="B98" t="str">
            <v>JOSHHARBAUGH</v>
          </cell>
          <cell r="C98" t="str">
            <v>JoshHarbaugh</v>
          </cell>
          <cell r="D98" t="str">
            <v>FAM</v>
          </cell>
          <cell r="E98" t="str">
            <v>FAM</v>
          </cell>
          <cell r="F98" t="str">
            <v>L093530003</v>
          </cell>
          <cell r="G98">
            <v>23</v>
          </cell>
        </row>
        <row r="99">
          <cell r="B99" t="str">
            <v>TREVORHARRISON</v>
          </cell>
          <cell r="C99" t="str">
            <v>TrevorHarrison</v>
          </cell>
          <cell r="D99" t="str">
            <v>S</v>
          </cell>
          <cell r="E99" t="str">
            <v>EE</v>
          </cell>
          <cell r="F99" t="str">
            <v>L093530003</v>
          </cell>
          <cell r="G99">
            <v>8.22</v>
          </cell>
        </row>
        <row r="100">
          <cell r="B100" t="str">
            <v>JAYDAHART</v>
          </cell>
          <cell r="C100" t="str">
            <v>JaydaHart</v>
          </cell>
          <cell r="D100" t="str">
            <v>S</v>
          </cell>
          <cell r="E100" t="str">
            <v>EE</v>
          </cell>
          <cell r="F100" t="str">
            <v>L093530003</v>
          </cell>
          <cell r="G100">
            <v>8.22</v>
          </cell>
        </row>
        <row r="101">
          <cell r="B101" t="str">
            <v>NOURHATOUM</v>
          </cell>
          <cell r="C101" t="str">
            <v>NourHatoum</v>
          </cell>
          <cell r="D101" t="str">
            <v>S</v>
          </cell>
          <cell r="E101" t="str">
            <v>EE</v>
          </cell>
          <cell r="F101" t="str">
            <v>L093530003</v>
          </cell>
          <cell r="G101">
            <v>8.22</v>
          </cell>
        </row>
        <row r="102">
          <cell r="B102" t="str">
            <v>BRANDYHECKE</v>
          </cell>
          <cell r="C102" t="str">
            <v>BrandyHecke</v>
          </cell>
          <cell r="D102" t="str">
            <v>S+DEP</v>
          </cell>
          <cell r="E102" t="str">
            <v>EC</v>
          </cell>
          <cell r="F102" t="str">
            <v>L093530003</v>
          </cell>
          <cell r="G102">
            <v>13.95</v>
          </cell>
        </row>
        <row r="103">
          <cell r="B103" t="str">
            <v>ROBERTHEILIG</v>
          </cell>
          <cell r="C103" t="str">
            <v>RobertHeilig</v>
          </cell>
          <cell r="D103" t="str">
            <v>S+DEP</v>
          </cell>
          <cell r="E103" t="str">
            <v>EC</v>
          </cell>
          <cell r="F103" t="str">
            <v>L093530003</v>
          </cell>
          <cell r="G103">
            <v>13.95</v>
          </cell>
        </row>
        <row r="104">
          <cell r="B104" t="str">
            <v>GABRIELHEINEMANN</v>
          </cell>
          <cell r="C104" t="str">
            <v>GabrielHeinemann</v>
          </cell>
          <cell r="D104" t="str">
            <v>S</v>
          </cell>
          <cell r="E104" t="str">
            <v>EE</v>
          </cell>
          <cell r="F104" t="str">
            <v>L093530003</v>
          </cell>
          <cell r="G104">
            <v>8.22</v>
          </cell>
        </row>
        <row r="105">
          <cell r="B105" t="str">
            <v>KELLIEHELM</v>
          </cell>
          <cell r="C105" t="str">
            <v>KellieHelm</v>
          </cell>
          <cell r="D105" t="str">
            <v>S</v>
          </cell>
          <cell r="E105" t="str">
            <v>EE</v>
          </cell>
          <cell r="F105" t="str">
            <v>L093530003</v>
          </cell>
          <cell r="G105">
            <v>8.22</v>
          </cell>
        </row>
        <row r="106">
          <cell r="B106" t="str">
            <v>KEMBLYHENDERSON</v>
          </cell>
          <cell r="C106" t="str">
            <v>KemblyHenderson</v>
          </cell>
          <cell r="D106" t="str">
            <v>S</v>
          </cell>
          <cell r="E106" t="str">
            <v>EE</v>
          </cell>
          <cell r="F106" t="str">
            <v>L093530003</v>
          </cell>
          <cell r="G106">
            <v>8.22</v>
          </cell>
        </row>
        <row r="107">
          <cell r="B107" t="str">
            <v>RYANHENDERSON</v>
          </cell>
          <cell r="C107" t="str">
            <v>RyanHenderson</v>
          </cell>
          <cell r="D107" t="str">
            <v>s</v>
          </cell>
          <cell r="E107" t="str">
            <v>EE</v>
          </cell>
          <cell r="F107" t="str">
            <v>L093530003</v>
          </cell>
          <cell r="G107">
            <v>8.22</v>
          </cell>
        </row>
        <row r="108">
          <cell r="B108" t="str">
            <v>JONATHANHERING</v>
          </cell>
          <cell r="C108" t="str">
            <v>JonathanHering</v>
          </cell>
          <cell r="D108" t="str">
            <v>FAM</v>
          </cell>
          <cell r="E108" t="str">
            <v>FAM</v>
          </cell>
          <cell r="F108" t="str">
            <v>L093530003</v>
          </cell>
          <cell r="G108">
            <v>23</v>
          </cell>
        </row>
        <row r="109">
          <cell r="B109" t="str">
            <v>SARAHHIGDON</v>
          </cell>
          <cell r="C109" t="str">
            <v>SarahHigdon</v>
          </cell>
          <cell r="D109" t="str">
            <v>S+DEP</v>
          </cell>
          <cell r="E109" t="str">
            <v>EC</v>
          </cell>
          <cell r="F109" t="str">
            <v>L093530003</v>
          </cell>
          <cell r="G109">
            <v>13.95</v>
          </cell>
        </row>
        <row r="110">
          <cell r="B110" t="str">
            <v>JACKHIGGINS</v>
          </cell>
          <cell r="C110" t="str">
            <v>JackHiggins</v>
          </cell>
          <cell r="D110" t="str">
            <v>S</v>
          </cell>
          <cell r="E110" t="str">
            <v>EE</v>
          </cell>
          <cell r="F110" t="str">
            <v>L093530003</v>
          </cell>
          <cell r="G110">
            <v>8.22</v>
          </cell>
        </row>
        <row r="111">
          <cell r="B111" t="str">
            <v>RANDOLPHHILL</v>
          </cell>
          <cell r="C111" t="str">
            <v>RandolphHill</v>
          </cell>
          <cell r="D111" t="str">
            <v>2P</v>
          </cell>
          <cell r="E111" t="str">
            <v>ES</v>
          </cell>
          <cell r="F111" t="str">
            <v>L093530003</v>
          </cell>
          <cell r="G111">
            <v>16.48</v>
          </cell>
        </row>
        <row r="112">
          <cell r="B112" t="str">
            <v>KERRIHOLIMAN</v>
          </cell>
          <cell r="C112" t="str">
            <v>KerriHoliman</v>
          </cell>
          <cell r="D112" t="str">
            <v>S</v>
          </cell>
          <cell r="E112" t="str">
            <v>EE</v>
          </cell>
          <cell r="F112" t="str">
            <v>L093530003</v>
          </cell>
          <cell r="G112">
            <v>8.22</v>
          </cell>
        </row>
        <row r="113">
          <cell r="B113" t="str">
            <v>ZACHARYHOLLOWAY</v>
          </cell>
          <cell r="C113" t="str">
            <v>ZacharyHolloway</v>
          </cell>
          <cell r="D113" t="str">
            <v>S</v>
          </cell>
          <cell r="E113" t="str">
            <v>EE</v>
          </cell>
          <cell r="F113" t="str">
            <v>L093530003</v>
          </cell>
          <cell r="G113">
            <v>8.22</v>
          </cell>
        </row>
        <row r="114">
          <cell r="B114" t="str">
            <v>ALEXANDERHOLST</v>
          </cell>
          <cell r="C114" t="str">
            <v>AlexanderHolst</v>
          </cell>
          <cell r="D114" t="str">
            <v>S</v>
          </cell>
          <cell r="E114" t="str">
            <v>EE</v>
          </cell>
          <cell r="F114" t="str">
            <v>L093530003</v>
          </cell>
          <cell r="G114">
            <v>8.22</v>
          </cell>
        </row>
        <row r="115">
          <cell r="B115" t="str">
            <v>SAMUELHOOPER</v>
          </cell>
          <cell r="C115" t="str">
            <v>SamuelHooper</v>
          </cell>
          <cell r="D115" t="str">
            <v>S</v>
          </cell>
          <cell r="E115" t="str">
            <v>EE</v>
          </cell>
          <cell r="F115" t="str">
            <v>L093530003</v>
          </cell>
          <cell r="G115">
            <v>8.22</v>
          </cell>
        </row>
        <row r="116">
          <cell r="B116" t="str">
            <v>ALLENHOUSTON</v>
          </cell>
          <cell r="C116" t="str">
            <v>AllenHouston</v>
          </cell>
          <cell r="D116" t="str">
            <v>FAM</v>
          </cell>
          <cell r="E116" t="str">
            <v>FAM</v>
          </cell>
          <cell r="F116" t="str">
            <v>L093530003</v>
          </cell>
          <cell r="G116">
            <v>23</v>
          </cell>
        </row>
        <row r="117">
          <cell r="B117" t="str">
            <v>COREYHUANG</v>
          </cell>
          <cell r="C117" t="str">
            <v>CoreyHuang</v>
          </cell>
          <cell r="D117" t="str">
            <v>S</v>
          </cell>
          <cell r="E117" t="str">
            <v>EE</v>
          </cell>
          <cell r="F117" t="str">
            <v>L093530003</v>
          </cell>
          <cell r="G117">
            <v>8.22</v>
          </cell>
        </row>
        <row r="118">
          <cell r="B118" t="str">
            <v>KEVINHUANG</v>
          </cell>
          <cell r="C118" t="str">
            <v>KevinHuang</v>
          </cell>
          <cell r="D118" t="str">
            <v>S</v>
          </cell>
          <cell r="E118" t="str">
            <v>EE</v>
          </cell>
          <cell r="F118" t="str">
            <v>L093530003</v>
          </cell>
          <cell r="G118">
            <v>8.22</v>
          </cell>
        </row>
        <row r="119">
          <cell r="B119" t="str">
            <v>CANDACEHUNT</v>
          </cell>
          <cell r="C119" t="str">
            <v>CandaceHunt</v>
          </cell>
          <cell r="D119" t="str">
            <v>FAM</v>
          </cell>
          <cell r="E119" t="str">
            <v>FAM</v>
          </cell>
          <cell r="F119" t="str">
            <v>L093530003</v>
          </cell>
          <cell r="G119">
            <v>23</v>
          </cell>
        </row>
        <row r="120">
          <cell r="B120" t="str">
            <v>WILLIAMHUNT</v>
          </cell>
          <cell r="C120" t="str">
            <v>WilliamHunt</v>
          </cell>
          <cell r="D120" t="str">
            <v>2P</v>
          </cell>
          <cell r="E120" t="str">
            <v>ES</v>
          </cell>
          <cell r="F120" t="str">
            <v>L093530003</v>
          </cell>
          <cell r="G120">
            <v>16.48</v>
          </cell>
        </row>
        <row r="121">
          <cell r="B121" t="str">
            <v>GABRIELLEILENSTINE</v>
          </cell>
          <cell r="C121" t="str">
            <v>GabrielleIlenstine</v>
          </cell>
          <cell r="D121" t="str">
            <v>S</v>
          </cell>
          <cell r="E121" t="str">
            <v>EE</v>
          </cell>
          <cell r="F121" t="str">
            <v>L093530003</v>
          </cell>
          <cell r="G121">
            <v>8.22</v>
          </cell>
        </row>
        <row r="122">
          <cell r="B122" t="str">
            <v>ROBERTIWAMIYA</v>
          </cell>
          <cell r="C122" t="str">
            <v>RobertIwamiya</v>
          </cell>
          <cell r="D122" t="str">
            <v>FAM</v>
          </cell>
          <cell r="E122" t="str">
            <v>FAM</v>
          </cell>
          <cell r="F122" t="str">
            <v>L093530003</v>
          </cell>
          <cell r="G122">
            <v>23</v>
          </cell>
        </row>
        <row r="123">
          <cell r="B123" t="str">
            <v>TASMIYAHJAFFER</v>
          </cell>
          <cell r="C123" t="str">
            <v>TasmiyahJaffer</v>
          </cell>
          <cell r="D123" t="str">
            <v>2P</v>
          </cell>
          <cell r="E123" t="str">
            <v>ES</v>
          </cell>
          <cell r="F123" t="str">
            <v>L093530003</v>
          </cell>
          <cell r="G123">
            <v>16.48</v>
          </cell>
        </row>
        <row r="124">
          <cell r="B124" t="str">
            <v>MARCJAMESON</v>
          </cell>
          <cell r="C124" t="str">
            <v>MarcJameson</v>
          </cell>
          <cell r="D124" t="str">
            <v>S</v>
          </cell>
          <cell r="E124" t="str">
            <v>EE</v>
          </cell>
          <cell r="F124" t="str">
            <v>L093530003</v>
          </cell>
          <cell r="G124">
            <v>8.22</v>
          </cell>
        </row>
        <row r="125">
          <cell r="B125" t="str">
            <v>EMMAJANKE</v>
          </cell>
          <cell r="C125" t="str">
            <v>EmmaJanke</v>
          </cell>
          <cell r="D125" t="str">
            <v>S</v>
          </cell>
          <cell r="E125" t="str">
            <v>EE</v>
          </cell>
          <cell r="F125" t="str">
            <v>L093530003</v>
          </cell>
          <cell r="G125">
            <v>8.22</v>
          </cell>
        </row>
        <row r="126">
          <cell r="B126" t="str">
            <v>CRAIGJENSEN</v>
          </cell>
          <cell r="C126" t="str">
            <v>CraigJensen</v>
          </cell>
          <cell r="D126" t="str">
            <v>S+DEP</v>
          </cell>
          <cell r="E126" t="str">
            <v>EC</v>
          </cell>
          <cell r="F126" t="str">
            <v>L093530003</v>
          </cell>
          <cell r="G126">
            <v>13.95</v>
          </cell>
        </row>
        <row r="127">
          <cell r="B127" t="str">
            <v>JONATHANJOBLING</v>
          </cell>
          <cell r="C127" t="str">
            <v>JonathanJobling</v>
          </cell>
          <cell r="D127" t="str">
            <v>S</v>
          </cell>
          <cell r="E127" t="str">
            <v>EE</v>
          </cell>
          <cell r="F127" t="str">
            <v>L093530003</v>
          </cell>
          <cell r="G127">
            <v>8.22</v>
          </cell>
        </row>
        <row r="128">
          <cell r="B128" t="str">
            <v>BRADLEYJONES</v>
          </cell>
          <cell r="C128" t="str">
            <v>BradleyJones</v>
          </cell>
          <cell r="D128" t="str">
            <v>FAM</v>
          </cell>
          <cell r="E128" t="str">
            <v>FAM</v>
          </cell>
          <cell r="F128" t="str">
            <v>L093530003</v>
          </cell>
          <cell r="G128">
            <v>23</v>
          </cell>
        </row>
        <row r="129">
          <cell r="B129" t="str">
            <v>PETERJORDAN</v>
          </cell>
          <cell r="C129" t="str">
            <v>PeterJordan</v>
          </cell>
          <cell r="D129" t="str">
            <v>S</v>
          </cell>
          <cell r="E129" t="str">
            <v>EE</v>
          </cell>
          <cell r="F129" t="str">
            <v>L093530003</v>
          </cell>
          <cell r="G129">
            <v>8.22</v>
          </cell>
        </row>
        <row r="130">
          <cell r="B130" t="str">
            <v>AMALEAJUBARA</v>
          </cell>
          <cell r="C130" t="str">
            <v>AmaleaJubara</v>
          </cell>
          <cell r="D130" t="str">
            <v>S</v>
          </cell>
          <cell r="E130" t="str">
            <v>EE</v>
          </cell>
          <cell r="F130" t="str">
            <v>L093530003</v>
          </cell>
          <cell r="G130">
            <v>8.22</v>
          </cell>
        </row>
        <row r="131">
          <cell r="B131" t="str">
            <v>SEANKEARNEY</v>
          </cell>
          <cell r="C131" t="e">
            <v>#N/A</v>
          </cell>
          <cell r="D131" t="str">
            <v>S</v>
          </cell>
          <cell r="E131" t="str">
            <v>EE</v>
          </cell>
          <cell r="F131" t="str">
            <v>L093530003</v>
          </cell>
          <cell r="G131">
            <v>8.22</v>
          </cell>
        </row>
        <row r="132">
          <cell r="B132" t="str">
            <v>GRACEKELLY</v>
          </cell>
          <cell r="C132" t="str">
            <v>GraceKelly</v>
          </cell>
          <cell r="D132" t="str">
            <v>S</v>
          </cell>
          <cell r="E132" t="str">
            <v>EE</v>
          </cell>
          <cell r="F132" t="str">
            <v>L093530003</v>
          </cell>
          <cell r="G132">
            <v>8.22</v>
          </cell>
        </row>
        <row r="133">
          <cell r="B133" t="str">
            <v>JILLIANKENNELLY</v>
          </cell>
          <cell r="C133" t="str">
            <v>JillianKennelly</v>
          </cell>
          <cell r="D133" t="str">
            <v>FAM</v>
          </cell>
          <cell r="E133" t="str">
            <v>FAM</v>
          </cell>
          <cell r="F133" t="str">
            <v>L093530003</v>
          </cell>
          <cell r="G133">
            <v>23</v>
          </cell>
        </row>
        <row r="134">
          <cell r="B134" t="str">
            <v>JEFFREYKETZ</v>
          </cell>
          <cell r="C134" t="str">
            <v>JeffreyKetz</v>
          </cell>
          <cell r="D134" t="str">
            <v>S</v>
          </cell>
          <cell r="E134" t="str">
            <v>EE</v>
          </cell>
          <cell r="F134" t="str">
            <v>L093530003</v>
          </cell>
          <cell r="G134">
            <v>8.22</v>
          </cell>
        </row>
        <row r="135">
          <cell r="B135" t="str">
            <v>WILLIAMKIMBARK</v>
          </cell>
          <cell r="C135" t="str">
            <v>WilliamKimbark</v>
          </cell>
          <cell r="D135" t="str">
            <v>FAM</v>
          </cell>
          <cell r="E135" t="str">
            <v>FAM</v>
          </cell>
          <cell r="F135" t="str">
            <v>L093530003</v>
          </cell>
          <cell r="G135">
            <v>23</v>
          </cell>
        </row>
        <row r="136">
          <cell r="B136" t="str">
            <v>JONAHKING</v>
          </cell>
          <cell r="C136" t="str">
            <v>JonahKing</v>
          </cell>
          <cell r="D136" t="str">
            <v>2P</v>
          </cell>
          <cell r="E136" t="str">
            <v>ES</v>
          </cell>
          <cell r="F136" t="str">
            <v>L093530003</v>
          </cell>
          <cell r="G136">
            <v>16.48</v>
          </cell>
        </row>
        <row r="137">
          <cell r="B137" t="str">
            <v>EKATERINAKINGSTON</v>
          </cell>
          <cell r="C137" t="str">
            <v>EkaterinaKingston</v>
          </cell>
          <cell r="D137" t="str">
            <v>FAM</v>
          </cell>
          <cell r="E137" t="str">
            <v>FAM</v>
          </cell>
          <cell r="F137" t="str">
            <v>L093530003</v>
          </cell>
          <cell r="G137">
            <v>23</v>
          </cell>
        </row>
        <row r="138">
          <cell r="B138" t="str">
            <v>DAVIDKITARUTH</v>
          </cell>
          <cell r="C138" t="str">
            <v>DavidKitaruth</v>
          </cell>
          <cell r="D138" t="str">
            <v>S</v>
          </cell>
          <cell r="E138" t="str">
            <v>EE</v>
          </cell>
          <cell r="F138" t="str">
            <v>L093530003</v>
          </cell>
          <cell r="G138">
            <v>8.22</v>
          </cell>
        </row>
        <row r="139">
          <cell r="B139" t="str">
            <v>LAURENKOCH</v>
          </cell>
          <cell r="C139" t="str">
            <v>LaurenKoch</v>
          </cell>
          <cell r="D139" t="str">
            <v>S</v>
          </cell>
          <cell r="E139" t="str">
            <v>EE</v>
          </cell>
          <cell r="F139" t="str">
            <v>L093530003</v>
          </cell>
          <cell r="G139">
            <v>8.22</v>
          </cell>
        </row>
        <row r="140">
          <cell r="B140" t="str">
            <v>KATIEKRUMBHOLZ</v>
          </cell>
          <cell r="C140" t="str">
            <v>KatieKrumbholz</v>
          </cell>
          <cell r="D140" t="str">
            <v>S</v>
          </cell>
          <cell r="E140" t="str">
            <v>EE</v>
          </cell>
          <cell r="F140" t="str">
            <v>L093530003</v>
          </cell>
          <cell r="G140">
            <v>8.22</v>
          </cell>
        </row>
        <row r="141">
          <cell r="B141" t="str">
            <v>PRASADKUBERKAR</v>
          </cell>
          <cell r="C141" t="str">
            <v>PrasadKuberkar</v>
          </cell>
          <cell r="D141" t="str">
            <v>S</v>
          </cell>
          <cell r="E141" t="str">
            <v>EE</v>
          </cell>
          <cell r="F141" t="str">
            <v>L093530003</v>
          </cell>
          <cell r="G141">
            <v>8.22</v>
          </cell>
        </row>
        <row r="142">
          <cell r="B142" t="str">
            <v>GLENKUSHNER</v>
          </cell>
          <cell r="C142" t="str">
            <v>GlenKushner</v>
          </cell>
          <cell r="D142" t="str">
            <v>2P</v>
          </cell>
          <cell r="E142" t="str">
            <v>ES</v>
          </cell>
          <cell r="F142" t="str">
            <v>L093530003</v>
          </cell>
          <cell r="G142">
            <v>16.48</v>
          </cell>
        </row>
        <row r="143">
          <cell r="B143" t="str">
            <v>GABRIELLELAMANTIA</v>
          </cell>
          <cell r="C143" t="str">
            <v>GabrielleLaMantia</v>
          </cell>
          <cell r="D143" t="str">
            <v>S</v>
          </cell>
          <cell r="E143" t="str">
            <v>EE</v>
          </cell>
          <cell r="F143" t="str">
            <v>L093530003</v>
          </cell>
          <cell r="G143">
            <v>8.22</v>
          </cell>
        </row>
        <row r="144">
          <cell r="B144" t="str">
            <v>THEDORELANDSMAN</v>
          </cell>
          <cell r="C144" t="str">
            <v>ThedoreLandsman</v>
          </cell>
          <cell r="D144" t="str">
            <v>S</v>
          </cell>
          <cell r="E144" t="str">
            <v>EE</v>
          </cell>
          <cell r="F144" t="str">
            <v>L093530003</v>
          </cell>
          <cell r="G144">
            <v>8.22</v>
          </cell>
        </row>
        <row r="145">
          <cell r="B145" t="str">
            <v>RYANLARSON</v>
          </cell>
          <cell r="C145" t="str">
            <v>RyanLarson</v>
          </cell>
          <cell r="D145" t="str">
            <v>S</v>
          </cell>
          <cell r="E145" t="str">
            <v>EE</v>
          </cell>
          <cell r="F145" t="str">
            <v>L093530003</v>
          </cell>
          <cell r="G145">
            <v>8.22</v>
          </cell>
        </row>
        <row r="146">
          <cell r="B146" t="str">
            <v>MAXLASCOMBE</v>
          </cell>
          <cell r="C146" t="str">
            <v>MaxLascombe</v>
          </cell>
          <cell r="D146" t="str">
            <v>S</v>
          </cell>
          <cell r="E146" t="str">
            <v>EE</v>
          </cell>
          <cell r="F146" t="str">
            <v>L093530003</v>
          </cell>
          <cell r="G146">
            <v>8.22</v>
          </cell>
        </row>
        <row r="147">
          <cell r="B147" t="str">
            <v>CALEBLAVERACK</v>
          </cell>
          <cell r="C147" t="str">
            <v>CalebLaverack</v>
          </cell>
          <cell r="D147" t="str">
            <v>S</v>
          </cell>
          <cell r="E147" t="str">
            <v>EE</v>
          </cell>
          <cell r="F147" t="str">
            <v>L093530003</v>
          </cell>
          <cell r="G147">
            <v>8.22</v>
          </cell>
        </row>
        <row r="148">
          <cell r="B148" t="str">
            <v>ALEXANDERLAWHORNE</v>
          </cell>
          <cell r="C148" t="str">
            <v>AlexanderLawhorne</v>
          </cell>
          <cell r="D148" t="str">
            <v>S</v>
          </cell>
          <cell r="E148" t="str">
            <v>EE</v>
          </cell>
          <cell r="F148" t="str">
            <v>L093530003</v>
          </cell>
          <cell r="G148">
            <v>8.22</v>
          </cell>
        </row>
        <row r="149">
          <cell r="B149" t="str">
            <v>JACOBLefkowitz</v>
          </cell>
          <cell r="C149" t="str">
            <v>JacobLefkowitz</v>
          </cell>
          <cell r="D149" t="str">
            <v>S</v>
          </cell>
          <cell r="E149" t="str">
            <v>EE</v>
          </cell>
          <cell r="F149" t="str">
            <v>L093530003</v>
          </cell>
          <cell r="G149">
            <v>8.22</v>
          </cell>
        </row>
        <row r="150">
          <cell r="B150" t="str">
            <v>SALLYLI</v>
          </cell>
          <cell r="C150" t="str">
            <v>SallyLi</v>
          </cell>
          <cell r="D150" t="str">
            <v>S</v>
          </cell>
          <cell r="E150" t="str">
            <v>EE</v>
          </cell>
          <cell r="F150" t="str">
            <v>L093530003</v>
          </cell>
          <cell r="G150">
            <v>8.22</v>
          </cell>
        </row>
        <row r="151">
          <cell r="B151" t="str">
            <v>MIAOLONG</v>
          </cell>
          <cell r="C151" t="str">
            <v>MiaoLong</v>
          </cell>
          <cell r="D151" t="str">
            <v>S</v>
          </cell>
          <cell r="E151" t="str">
            <v>EE</v>
          </cell>
          <cell r="F151" t="str">
            <v>L093530003</v>
          </cell>
          <cell r="G151">
            <v>8.22</v>
          </cell>
        </row>
        <row r="152">
          <cell r="B152" t="str">
            <v>BERNADETTELONGART GONZALEZ</v>
          </cell>
          <cell r="C152" t="str">
            <v>BernadetteLongart Gonzalez</v>
          </cell>
          <cell r="D152" t="str">
            <v>S+DEP</v>
          </cell>
          <cell r="E152" t="str">
            <v>EC</v>
          </cell>
          <cell r="F152" t="str">
            <v>L093530003</v>
          </cell>
          <cell r="G152">
            <v>13.95</v>
          </cell>
        </row>
        <row r="153">
          <cell r="B153" t="str">
            <v>SIDNEYLOPEZ</v>
          </cell>
          <cell r="C153" t="str">
            <v>SidneyLopez</v>
          </cell>
          <cell r="D153" t="str">
            <v>S</v>
          </cell>
          <cell r="E153" t="str">
            <v>EE</v>
          </cell>
          <cell r="F153" t="str">
            <v>L093530003</v>
          </cell>
          <cell r="G153">
            <v>8.22</v>
          </cell>
        </row>
        <row r="154">
          <cell r="B154" t="str">
            <v>CYNTHIALU</v>
          </cell>
          <cell r="C154" t="str">
            <v>CynthiaLu</v>
          </cell>
          <cell r="D154" t="str">
            <v>S</v>
          </cell>
          <cell r="E154" t="str">
            <v>EE</v>
          </cell>
          <cell r="F154" t="str">
            <v>L093530003</v>
          </cell>
          <cell r="G154">
            <v>8.22</v>
          </cell>
        </row>
        <row r="155">
          <cell r="B155" t="str">
            <v>CHRISTOPHERLUBNIEWSKI</v>
          </cell>
          <cell r="C155" t="str">
            <v>ChristopherLubniewski</v>
          </cell>
          <cell r="D155" t="str">
            <v>2P</v>
          </cell>
          <cell r="E155" t="str">
            <v>ES</v>
          </cell>
          <cell r="F155" t="str">
            <v>L093530003</v>
          </cell>
          <cell r="G155">
            <v>16.48</v>
          </cell>
        </row>
        <row r="156">
          <cell r="B156" t="str">
            <v>JONATHANLUCAS SACTA</v>
          </cell>
          <cell r="C156" t="str">
            <v>JonathanLucas Sacta</v>
          </cell>
          <cell r="D156" t="str">
            <v>S</v>
          </cell>
          <cell r="E156" t="str">
            <v>EE</v>
          </cell>
          <cell r="F156" t="str">
            <v>L093530003</v>
          </cell>
          <cell r="G156">
            <v>8.22</v>
          </cell>
        </row>
        <row r="157">
          <cell r="B157" t="str">
            <v>PAULLUNDQUIST</v>
          </cell>
          <cell r="C157" t="str">
            <v>PaulLundquist</v>
          </cell>
          <cell r="D157" t="str">
            <v>FAM</v>
          </cell>
          <cell r="E157" t="str">
            <v>FAM</v>
          </cell>
          <cell r="F157" t="str">
            <v>L093530003</v>
          </cell>
          <cell r="G157">
            <v>23</v>
          </cell>
        </row>
        <row r="158">
          <cell r="B158" t="str">
            <v>MICHAELMALECKI</v>
          </cell>
          <cell r="C158" t="str">
            <v>MichaelMalecki</v>
          </cell>
          <cell r="D158" t="str">
            <v>S</v>
          </cell>
          <cell r="E158" t="str">
            <v>EE</v>
          </cell>
          <cell r="F158" t="str">
            <v>L093530003</v>
          </cell>
          <cell r="G158">
            <v>8.22</v>
          </cell>
        </row>
        <row r="159">
          <cell r="B159" t="str">
            <v>YONATANMargalit</v>
          </cell>
          <cell r="C159" t="str">
            <v>YonatanMargalit</v>
          </cell>
          <cell r="D159" t="str">
            <v>S</v>
          </cell>
          <cell r="E159" t="str">
            <v>EE</v>
          </cell>
          <cell r="F159" t="str">
            <v>L093530003</v>
          </cell>
          <cell r="G159">
            <v>8.22</v>
          </cell>
        </row>
        <row r="160">
          <cell r="B160" t="str">
            <v>RAYMARTIN</v>
          </cell>
          <cell r="C160" t="str">
            <v>RayMartin</v>
          </cell>
          <cell r="D160" t="str">
            <v>FAM</v>
          </cell>
          <cell r="E160" t="str">
            <v>FAM</v>
          </cell>
          <cell r="F160" t="str">
            <v>L093530003</v>
          </cell>
          <cell r="G160">
            <v>23</v>
          </cell>
        </row>
        <row r="161">
          <cell r="B161" t="str">
            <v>JULISSAMARTINEZ</v>
          </cell>
          <cell r="C161" t="str">
            <v>JulissaMartinez</v>
          </cell>
          <cell r="D161" t="str">
            <v>FAM</v>
          </cell>
          <cell r="E161" t="str">
            <v>FAM</v>
          </cell>
          <cell r="F161" t="str">
            <v>L093530003</v>
          </cell>
          <cell r="G161">
            <v>23</v>
          </cell>
        </row>
        <row r="162">
          <cell r="B162" t="str">
            <v>MONAMATSUMOTO RYAN</v>
          </cell>
          <cell r="C162" t="str">
            <v>MonaMatsumoto Ryan</v>
          </cell>
          <cell r="D162" t="str">
            <v>S</v>
          </cell>
          <cell r="E162" t="str">
            <v>EE</v>
          </cell>
          <cell r="F162" t="str">
            <v>L093530003</v>
          </cell>
          <cell r="G162">
            <v>8.22</v>
          </cell>
        </row>
        <row r="163">
          <cell r="B163" t="str">
            <v>ROBERTMAY</v>
          </cell>
          <cell r="C163" t="str">
            <v>RobertMay</v>
          </cell>
          <cell r="D163" t="str">
            <v>S</v>
          </cell>
          <cell r="E163" t="str">
            <v>EE</v>
          </cell>
          <cell r="F163" t="str">
            <v>L093530003</v>
          </cell>
          <cell r="G163">
            <v>8.22</v>
          </cell>
        </row>
        <row r="164">
          <cell r="B164" t="str">
            <v>CHRISTOPHERMCGUIRE</v>
          </cell>
          <cell r="C164" t="str">
            <v>ChristopherMcGuire</v>
          </cell>
          <cell r="D164" t="str">
            <v>FAM</v>
          </cell>
          <cell r="E164" t="str">
            <v>FAM</v>
          </cell>
          <cell r="F164" t="str">
            <v>L093530003</v>
          </cell>
          <cell r="G164">
            <v>23</v>
          </cell>
        </row>
        <row r="165">
          <cell r="B165" t="str">
            <v>ABIGAILMCVAY</v>
          </cell>
          <cell r="C165" t="str">
            <v>AbigailMcVay</v>
          </cell>
          <cell r="D165" t="str">
            <v>S</v>
          </cell>
          <cell r="E165" t="str">
            <v>EE</v>
          </cell>
          <cell r="F165" t="str">
            <v>L093530003</v>
          </cell>
          <cell r="G165">
            <v>8.22</v>
          </cell>
        </row>
        <row r="166">
          <cell r="B166" t="str">
            <v>NICHOLASMETZGER</v>
          </cell>
          <cell r="C166" t="str">
            <v>NicholasMetzger</v>
          </cell>
          <cell r="D166" t="str">
            <v>S</v>
          </cell>
          <cell r="E166" t="str">
            <v>EE</v>
          </cell>
          <cell r="F166" t="str">
            <v>L093530003</v>
          </cell>
          <cell r="G166">
            <v>8.22</v>
          </cell>
        </row>
        <row r="167">
          <cell r="B167" t="str">
            <v>ROGERMIAO</v>
          </cell>
          <cell r="C167" t="str">
            <v>RogerMiao</v>
          </cell>
          <cell r="D167" t="str">
            <v>S</v>
          </cell>
          <cell r="E167" t="str">
            <v>EE</v>
          </cell>
          <cell r="F167" t="str">
            <v>L093530003</v>
          </cell>
          <cell r="G167">
            <v>8.22</v>
          </cell>
        </row>
        <row r="168">
          <cell r="B168" t="str">
            <v>KRISTAMILLER</v>
          </cell>
          <cell r="C168" t="str">
            <v>KristaMiller</v>
          </cell>
          <cell r="D168" t="str">
            <v>S</v>
          </cell>
          <cell r="E168" t="str">
            <v>EE</v>
          </cell>
          <cell r="F168" t="str">
            <v>L093530003</v>
          </cell>
          <cell r="G168">
            <v>8.22</v>
          </cell>
        </row>
        <row r="169">
          <cell r="B169" t="str">
            <v>NIKKIMILLIREN</v>
          </cell>
          <cell r="C169" t="str">
            <v>NikkiMilliren</v>
          </cell>
          <cell r="D169" t="str">
            <v>S</v>
          </cell>
          <cell r="E169" t="str">
            <v>EE</v>
          </cell>
          <cell r="F169" t="str">
            <v>L093530003</v>
          </cell>
          <cell r="G169">
            <v>8.22</v>
          </cell>
        </row>
        <row r="170">
          <cell r="B170" t="str">
            <v>DAVIDMONTGOMERY</v>
          </cell>
          <cell r="C170" t="str">
            <v>DavidMontgomery</v>
          </cell>
          <cell r="D170" t="str">
            <v>S</v>
          </cell>
          <cell r="E170" t="str">
            <v>EE</v>
          </cell>
          <cell r="F170" t="str">
            <v>L093530003</v>
          </cell>
          <cell r="G170">
            <v>8.22</v>
          </cell>
        </row>
        <row r="171">
          <cell r="B171" t="str">
            <v>MELISSAMOORE</v>
          </cell>
          <cell r="C171" t="str">
            <v>MelissaMoore</v>
          </cell>
          <cell r="D171" t="str">
            <v>2P</v>
          </cell>
          <cell r="E171" t="str">
            <v>ES</v>
          </cell>
          <cell r="F171" t="str">
            <v>L093530003</v>
          </cell>
          <cell r="G171">
            <v>16.48</v>
          </cell>
        </row>
        <row r="172">
          <cell r="B172" t="str">
            <v>DANIELMORGAN</v>
          </cell>
          <cell r="C172" t="str">
            <v>DanielMorgan</v>
          </cell>
          <cell r="D172" t="str">
            <v>2P</v>
          </cell>
          <cell r="E172" t="str">
            <v>ES</v>
          </cell>
          <cell r="F172" t="str">
            <v>L093530003</v>
          </cell>
          <cell r="G172">
            <v>16.48</v>
          </cell>
        </row>
        <row r="173">
          <cell r="B173" t="str">
            <v>JEFFMORRIS</v>
          </cell>
          <cell r="C173" t="str">
            <v>JeffMorris</v>
          </cell>
          <cell r="D173" t="str">
            <v>S+DEP</v>
          </cell>
          <cell r="E173" t="str">
            <v>EC</v>
          </cell>
          <cell r="F173" t="str">
            <v>L093530003</v>
          </cell>
          <cell r="G173">
            <v>13.95</v>
          </cell>
        </row>
        <row r="174">
          <cell r="B174" t="str">
            <v>NOURELDINMOUSSA</v>
          </cell>
          <cell r="C174" t="str">
            <v>NoureldinMoussa</v>
          </cell>
          <cell r="D174" t="str">
            <v>S</v>
          </cell>
          <cell r="E174" t="str">
            <v>EE</v>
          </cell>
          <cell r="F174" t="str">
            <v>L093530003</v>
          </cell>
          <cell r="G174">
            <v>8.22</v>
          </cell>
        </row>
        <row r="175">
          <cell r="B175" t="str">
            <v>KRISTAMUHLEBACH</v>
          </cell>
          <cell r="C175" t="str">
            <v>KristaMuhlebach</v>
          </cell>
          <cell r="D175" t="str">
            <v>S</v>
          </cell>
          <cell r="E175" t="str">
            <v>EE</v>
          </cell>
          <cell r="F175" t="str">
            <v>L093530003</v>
          </cell>
          <cell r="G175">
            <v>8.22</v>
          </cell>
        </row>
        <row r="176">
          <cell r="B176" t="str">
            <v>JEFFREYMULVIHILL</v>
          </cell>
          <cell r="C176" t="str">
            <v>JeffreyMulvihill</v>
          </cell>
          <cell r="D176" t="str">
            <v>S</v>
          </cell>
          <cell r="E176" t="str">
            <v>EE</v>
          </cell>
          <cell r="F176" t="str">
            <v>L093530003</v>
          </cell>
          <cell r="G176">
            <v>8.22</v>
          </cell>
        </row>
        <row r="177">
          <cell r="B177" t="str">
            <v>ROXANNASIRI</v>
          </cell>
          <cell r="C177" t="str">
            <v>RoxanNasiri</v>
          </cell>
          <cell r="D177" t="str">
            <v>S</v>
          </cell>
          <cell r="E177" t="str">
            <v>EE</v>
          </cell>
          <cell r="F177" t="str">
            <v>L093530003</v>
          </cell>
          <cell r="G177">
            <v>8.22</v>
          </cell>
        </row>
        <row r="178">
          <cell r="B178" t="str">
            <v>JERRODNELSON</v>
          </cell>
          <cell r="C178" t="str">
            <v>JerrodNelson</v>
          </cell>
          <cell r="D178" t="str">
            <v>S</v>
          </cell>
          <cell r="E178" t="str">
            <v>EE</v>
          </cell>
          <cell r="F178" t="str">
            <v>L093530003</v>
          </cell>
          <cell r="G178">
            <v>8.22</v>
          </cell>
        </row>
        <row r="179">
          <cell r="B179" t="str">
            <v>JOHNNEWELL</v>
          </cell>
          <cell r="C179" t="str">
            <v>JohnNewell</v>
          </cell>
          <cell r="D179" t="str">
            <v>S</v>
          </cell>
          <cell r="E179" t="str">
            <v>EE</v>
          </cell>
          <cell r="F179" t="str">
            <v>L093530003</v>
          </cell>
          <cell r="G179">
            <v>8.22</v>
          </cell>
        </row>
        <row r="180">
          <cell r="B180" t="str">
            <v>SARANOMBURG</v>
          </cell>
          <cell r="C180" t="str">
            <v>SaraNomburg</v>
          </cell>
          <cell r="D180" t="str">
            <v>S</v>
          </cell>
          <cell r="E180" t="str">
            <v>EE</v>
          </cell>
          <cell r="F180" t="str">
            <v>L093530003</v>
          </cell>
          <cell r="G180">
            <v>8.22</v>
          </cell>
        </row>
        <row r="181">
          <cell r="B181" t="str">
            <v>CHIDERAOKECHUKWU</v>
          </cell>
          <cell r="C181" t="str">
            <v>ChideraOkechukwu</v>
          </cell>
          <cell r="D181" t="str">
            <v>S</v>
          </cell>
          <cell r="E181" t="str">
            <v>EE</v>
          </cell>
          <cell r="F181" t="str">
            <v>L093530003</v>
          </cell>
          <cell r="G181">
            <v>8.22</v>
          </cell>
        </row>
        <row r="182">
          <cell r="B182" t="str">
            <v>TAYLORORTH</v>
          </cell>
          <cell r="C182" t="str">
            <v>TaylorOrth</v>
          </cell>
          <cell r="D182" t="str">
            <v>S</v>
          </cell>
          <cell r="E182" t="str">
            <v>EE</v>
          </cell>
          <cell r="F182" t="str">
            <v>L093530003</v>
          </cell>
          <cell r="G182">
            <v>8.22</v>
          </cell>
        </row>
        <row r="183">
          <cell r="B183" t="str">
            <v>WILLIAMOSWALD</v>
          </cell>
          <cell r="C183" t="str">
            <v>WilliamOswald</v>
          </cell>
          <cell r="D183" t="str">
            <v>2P</v>
          </cell>
          <cell r="E183" t="str">
            <v>ES</v>
          </cell>
          <cell r="F183" t="str">
            <v>L093530003</v>
          </cell>
          <cell r="G183">
            <v>16.48</v>
          </cell>
        </row>
        <row r="184">
          <cell r="B184" t="str">
            <v>LAURAPACHECO</v>
          </cell>
          <cell r="C184" t="str">
            <v>LauraPacheco</v>
          </cell>
          <cell r="D184" t="str">
            <v>S</v>
          </cell>
          <cell r="E184" t="str">
            <v>EE</v>
          </cell>
          <cell r="F184" t="str">
            <v>L093530003</v>
          </cell>
          <cell r="G184">
            <v>8.22</v>
          </cell>
        </row>
        <row r="185">
          <cell r="B185" t="str">
            <v>BENJAMINPARO</v>
          </cell>
          <cell r="C185" t="str">
            <v>BenjaminParo</v>
          </cell>
          <cell r="D185" t="str">
            <v>S+DEP</v>
          </cell>
          <cell r="E185" t="str">
            <v>EC</v>
          </cell>
          <cell r="F185" t="str">
            <v>L093530003</v>
          </cell>
          <cell r="G185">
            <v>13.95</v>
          </cell>
        </row>
        <row r="186">
          <cell r="B186" t="str">
            <v>SNEHAPASUPULA</v>
          </cell>
          <cell r="C186" t="str">
            <v>SnehaPasupula</v>
          </cell>
          <cell r="D186" t="str">
            <v>S</v>
          </cell>
          <cell r="E186" t="str">
            <v>EE</v>
          </cell>
          <cell r="F186" t="str">
            <v>L093530003</v>
          </cell>
          <cell r="G186">
            <v>8.22</v>
          </cell>
        </row>
        <row r="187">
          <cell r="B187" t="str">
            <v>JONATHANPELTS</v>
          </cell>
          <cell r="C187" t="str">
            <v>JonathanPelts</v>
          </cell>
          <cell r="D187" t="str">
            <v>FAM</v>
          </cell>
          <cell r="E187" t="str">
            <v>FAM</v>
          </cell>
          <cell r="F187" t="str">
            <v>L093530003</v>
          </cell>
          <cell r="G187">
            <v>23</v>
          </cell>
        </row>
        <row r="188">
          <cell r="B188" t="str">
            <v>CHRISTOPHERPERKINS</v>
          </cell>
          <cell r="C188" t="str">
            <v>ChristopherPerkins</v>
          </cell>
          <cell r="D188" t="str">
            <v>FAM</v>
          </cell>
          <cell r="E188" t="str">
            <v>FAM</v>
          </cell>
          <cell r="F188" t="str">
            <v>L093530003</v>
          </cell>
          <cell r="G188">
            <v>23</v>
          </cell>
        </row>
        <row r="189">
          <cell r="B189" t="str">
            <v>SCOTTPERRETTA</v>
          </cell>
          <cell r="C189" t="str">
            <v>ScottPerretta</v>
          </cell>
          <cell r="D189" t="str">
            <v>FAM</v>
          </cell>
          <cell r="E189" t="str">
            <v>FAM</v>
          </cell>
          <cell r="F189" t="str">
            <v>L093530003</v>
          </cell>
          <cell r="G189">
            <v>23</v>
          </cell>
        </row>
        <row r="190">
          <cell r="B190" t="str">
            <v>MADISONPEZZELLA</v>
          </cell>
          <cell r="C190" t="str">
            <v>MadisonPezzella</v>
          </cell>
          <cell r="D190" t="str">
            <v>S</v>
          </cell>
          <cell r="E190" t="str">
            <v>EE</v>
          </cell>
          <cell r="F190" t="str">
            <v>L093530003</v>
          </cell>
          <cell r="G190">
            <v>8.22</v>
          </cell>
        </row>
        <row r="191">
          <cell r="B191" t="str">
            <v>REBECCAPHILLIPS</v>
          </cell>
          <cell r="C191" t="str">
            <v>RebeccaPhillips</v>
          </cell>
          <cell r="D191" t="str">
            <v>S</v>
          </cell>
          <cell r="E191" t="str">
            <v>EE</v>
          </cell>
          <cell r="F191" t="str">
            <v>L093530003</v>
          </cell>
          <cell r="G191">
            <v>8.22</v>
          </cell>
        </row>
        <row r="192">
          <cell r="B192" t="str">
            <v>NICOLEPIKE</v>
          </cell>
          <cell r="C192" t="str">
            <v>NicolePike</v>
          </cell>
          <cell r="D192" t="str">
            <v>S+DEP</v>
          </cell>
          <cell r="E192" t="str">
            <v>EC</v>
          </cell>
          <cell r="F192" t="str">
            <v>L093530003</v>
          </cell>
          <cell r="G192">
            <v>13.95</v>
          </cell>
        </row>
        <row r="193">
          <cell r="B193" t="str">
            <v>MADISONPLASTER</v>
          </cell>
          <cell r="C193" t="str">
            <v>MadisonPlaster</v>
          </cell>
          <cell r="D193" t="str">
            <v>S</v>
          </cell>
          <cell r="E193" t="str">
            <v>EE</v>
          </cell>
          <cell r="F193" t="str">
            <v>L093530003</v>
          </cell>
          <cell r="G193">
            <v>8.22</v>
          </cell>
        </row>
        <row r="194">
          <cell r="B194" t="str">
            <v>SOFIAPRETELL</v>
          </cell>
          <cell r="C194" t="str">
            <v>SofiaPretell</v>
          </cell>
          <cell r="D194" t="str">
            <v>S</v>
          </cell>
          <cell r="E194" t="str">
            <v>EE</v>
          </cell>
          <cell r="F194" t="str">
            <v>L093530003</v>
          </cell>
          <cell r="G194">
            <v>8.22</v>
          </cell>
        </row>
        <row r="195">
          <cell r="B195" t="str">
            <v>NATALIAQUINTANA</v>
          </cell>
          <cell r="C195" t="str">
            <v>NataliaQuintana</v>
          </cell>
          <cell r="D195" t="str">
            <v>S</v>
          </cell>
          <cell r="E195" t="str">
            <v>EE</v>
          </cell>
          <cell r="F195" t="str">
            <v>L093530003</v>
          </cell>
          <cell r="G195">
            <v>8.22</v>
          </cell>
        </row>
        <row r="196">
          <cell r="B196" t="str">
            <v>KIRSTENRASMUSSEN</v>
          </cell>
          <cell r="C196" t="str">
            <v>KirstenRasmussen</v>
          </cell>
          <cell r="D196" t="str">
            <v>S</v>
          </cell>
          <cell r="E196" t="str">
            <v>EE</v>
          </cell>
          <cell r="F196" t="str">
            <v>L093530003</v>
          </cell>
          <cell r="G196">
            <v>8.22</v>
          </cell>
        </row>
        <row r="197">
          <cell r="B197" t="str">
            <v>JOHNRAY</v>
          </cell>
          <cell r="C197" t="str">
            <v>JohnRay</v>
          </cell>
          <cell r="D197" t="str">
            <v>S</v>
          </cell>
          <cell r="E197" t="str">
            <v>EE</v>
          </cell>
          <cell r="F197" t="str">
            <v>L093530003</v>
          </cell>
          <cell r="G197">
            <v>8.22</v>
          </cell>
        </row>
        <row r="198">
          <cell r="B198" t="str">
            <v>BHAGYA LakshmiREDDY</v>
          </cell>
          <cell r="C198" t="str">
            <v>Bhagya LakshmiReddy</v>
          </cell>
          <cell r="D198" t="str">
            <v>S</v>
          </cell>
          <cell r="E198" t="str">
            <v>EE</v>
          </cell>
          <cell r="F198" t="str">
            <v>L093530003</v>
          </cell>
          <cell r="G198">
            <v>8.22</v>
          </cell>
        </row>
        <row r="199">
          <cell r="B199" t="str">
            <v>BRIANREITZ</v>
          </cell>
          <cell r="C199" t="str">
            <v>BrianReitz</v>
          </cell>
          <cell r="D199" t="str">
            <v>2P</v>
          </cell>
          <cell r="E199" t="str">
            <v>ES</v>
          </cell>
          <cell r="F199" t="str">
            <v>L093530003</v>
          </cell>
          <cell r="G199">
            <v>16.48</v>
          </cell>
        </row>
        <row r="200">
          <cell r="B200" t="str">
            <v>RYANRESNICK</v>
          </cell>
          <cell r="C200" t="str">
            <v>RyanResnick</v>
          </cell>
          <cell r="D200" t="str">
            <v>FAM</v>
          </cell>
          <cell r="E200" t="str">
            <v>FAM</v>
          </cell>
          <cell r="F200" t="str">
            <v>L093530003</v>
          </cell>
          <cell r="G200">
            <v>23</v>
          </cell>
        </row>
        <row r="201">
          <cell r="B201" t="str">
            <v>FRANCESCAREX</v>
          </cell>
          <cell r="C201" t="str">
            <v>FrancescaRex</v>
          </cell>
          <cell r="D201" t="str">
            <v>S</v>
          </cell>
          <cell r="E201" t="str">
            <v>EE</v>
          </cell>
          <cell r="F201" t="str">
            <v>L093530003</v>
          </cell>
          <cell r="G201">
            <v>8.22</v>
          </cell>
        </row>
        <row r="202">
          <cell r="B202" t="str">
            <v>GINGERRITCHIE</v>
          </cell>
          <cell r="C202" t="str">
            <v>GingerRitchie</v>
          </cell>
          <cell r="D202" t="str">
            <v>2P</v>
          </cell>
          <cell r="E202" t="str">
            <v>ES</v>
          </cell>
          <cell r="F202" t="str">
            <v>L093530003</v>
          </cell>
          <cell r="G202">
            <v>16.48</v>
          </cell>
        </row>
        <row r="203">
          <cell r="B203" t="str">
            <v>IANRITCHIE</v>
          </cell>
          <cell r="C203" t="str">
            <v>IanRitchie</v>
          </cell>
          <cell r="D203" t="str">
            <v>FAM</v>
          </cell>
          <cell r="E203" t="str">
            <v>FAM</v>
          </cell>
          <cell r="F203" t="str">
            <v>L093530003</v>
          </cell>
          <cell r="G203">
            <v>23</v>
          </cell>
        </row>
        <row r="204">
          <cell r="B204" t="str">
            <v>ARIELRIVERA</v>
          </cell>
          <cell r="C204" t="str">
            <v>ArielRivera</v>
          </cell>
          <cell r="D204" t="str">
            <v>S</v>
          </cell>
          <cell r="E204" t="str">
            <v>EE</v>
          </cell>
          <cell r="F204" t="str">
            <v>L093530003</v>
          </cell>
          <cell r="G204">
            <v>8.22</v>
          </cell>
        </row>
        <row r="205">
          <cell r="B205" t="str">
            <v>DAVIDRIVERA</v>
          </cell>
          <cell r="C205" t="str">
            <v>DavidRivera</v>
          </cell>
          <cell r="D205" t="str">
            <v>S</v>
          </cell>
          <cell r="E205" t="str">
            <v>EE</v>
          </cell>
          <cell r="F205" t="str">
            <v>L093530003</v>
          </cell>
          <cell r="G205">
            <v>8.22</v>
          </cell>
        </row>
        <row r="206">
          <cell r="B206" t="str">
            <v>CHARLESRODE</v>
          </cell>
          <cell r="C206" t="str">
            <v>CharlesRode</v>
          </cell>
          <cell r="D206" t="str">
            <v>S+DEP</v>
          </cell>
          <cell r="E206" t="str">
            <v>EC</v>
          </cell>
          <cell r="F206" t="str">
            <v>L093530003</v>
          </cell>
          <cell r="G206">
            <v>13.95</v>
          </cell>
        </row>
        <row r="207">
          <cell r="B207" t="str">
            <v>DAVIDROELL</v>
          </cell>
          <cell r="C207" t="str">
            <v>DavidRoell</v>
          </cell>
          <cell r="D207" t="str">
            <v>FAM</v>
          </cell>
          <cell r="E207" t="str">
            <v>FAM</v>
          </cell>
          <cell r="F207" t="str">
            <v>L093530003</v>
          </cell>
          <cell r="G207">
            <v>23</v>
          </cell>
        </row>
        <row r="208">
          <cell r="B208" t="str">
            <v>IANROSE</v>
          </cell>
          <cell r="C208" t="e">
            <v>#N/A</v>
          </cell>
          <cell r="D208" t="str">
            <v>S</v>
          </cell>
          <cell r="E208" t="str">
            <v>EE</v>
          </cell>
          <cell r="F208" t="str">
            <v>L093530003</v>
          </cell>
          <cell r="G208">
            <v>8.22</v>
          </cell>
        </row>
        <row r="209">
          <cell r="B209" t="str">
            <v>RACHELROSENTHAL</v>
          </cell>
          <cell r="C209" t="str">
            <v>RachelRosenthal</v>
          </cell>
          <cell r="D209" t="str">
            <v>s</v>
          </cell>
          <cell r="E209" t="str">
            <v>EE</v>
          </cell>
          <cell r="F209" t="str">
            <v>L093530003</v>
          </cell>
          <cell r="G209">
            <v>8.22</v>
          </cell>
        </row>
        <row r="210">
          <cell r="B210" t="str">
            <v>ALEXANDERROSSELL HAYES</v>
          </cell>
          <cell r="C210" t="str">
            <v>AlexanderRossell Hayes</v>
          </cell>
          <cell r="D210" t="str">
            <v>2P</v>
          </cell>
          <cell r="E210" t="str">
            <v>ES</v>
          </cell>
          <cell r="F210" t="str">
            <v>L093530003</v>
          </cell>
          <cell r="G210">
            <v>16.48</v>
          </cell>
        </row>
        <row r="211">
          <cell r="B211" t="str">
            <v>MARCRYAN</v>
          </cell>
          <cell r="C211" t="str">
            <v>MarcRyan</v>
          </cell>
          <cell r="D211" t="str">
            <v>FAM</v>
          </cell>
          <cell r="E211" t="str">
            <v>FAM</v>
          </cell>
          <cell r="F211" t="str">
            <v>L093530003</v>
          </cell>
          <cell r="G211">
            <v>23</v>
          </cell>
        </row>
        <row r="212">
          <cell r="B212" t="str">
            <v>KEVINSANSONE</v>
          </cell>
          <cell r="C212" t="str">
            <v>KevinSansone</v>
          </cell>
          <cell r="D212" t="str">
            <v>FAM</v>
          </cell>
          <cell r="E212" t="str">
            <v>FAM</v>
          </cell>
          <cell r="F212" t="str">
            <v>L093530003</v>
          </cell>
          <cell r="G212">
            <v>23</v>
          </cell>
        </row>
        <row r="213">
          <cell r="B213" t="str">
            <v>MarijanaSARAC</v>
          </cell>
          <cell r="C213" t="str">
            <v>MarijanaSarac</v>
          </cell>
          <cell r="D213" t="str">
            <v>S</v>
          </cell>
          <cell r="E213" t="str">
            <v>EE</v>
          </cell>
          <cell r="F213" t="str">
            <v>L093530003</v>
          </cell>
          <cell r="G213">
            <v>8.22</v>
          </cell>
        </row>
        <row r="214">
          <cell r="B214" t="str">
            <v>TAMARASAXMAN</v>
          </cell>
          <cell r="C214" t="str">
            <v>TamaraSaxman</v>
          </cell>
          <cell r="D214" t="str">
            <v>S</v>
          </cell>
          <cell r="E214" t="str">
            <v>EE</v>
          </cell>
          <cell r="F214" t="str">
            <v>L093530003</v>
          </cell>
          <cell r="G214">
            <v>8.22</v>
          </cell>
        </row>
        <row r="215">
          <cell r="B215" t="str">
            <v>MATTHEWSCHAUB</v>
          </cell>
          <cell r="C215" t="str">
            <v>MatthewSchaub</v>
          </cell>
          <cell r="D215" t="str">
            <v>S</v>
          </cell>
          <cell r="E215" t="str">
            <v>EE</v>
          </cell>
          <cell r="F215" t="str">
            <v>L093530003</v>
          </cell>
          <cell r="G215">
            <v>8.22</v>
          </cell>
        </row>
        <row r="216">
          <cell r="B216" t="str">
            <v>DARESCHENCK</v>
          </cell>
          <cell r="C216" t="str">
            <v>DareSchenck</v>
          </cell>
          <cell r="D216" t="str">
            <v>S</v>
          </cell>
          <cell r="E216" t="str">
            <v>EE</v>
          </cell>
          <cell r="F216" t="str">
            <v>L093530003</v>
          </cell>
          <cell r="G216">
            <v>8.22</v>
          </cell>
        </row>
        <row r="217">
          <cell r="B217" t="str">
            <v>ALEXANDRIASEAMSTER</v>
          </cell>
          <cell r="C217" t="str">
            <v>AlexandriaSeamster</v>
          </cell>
          <cell r="D217" t="str">
            <v>S</v>
          </cell>
          <cell r="E217" t="str">
            <v>EE</v>
          </cell>
          <cell r="F217" t="str">
            <v>L093530003</v>
          </cell>
          <cell r="G217">
            <v>8.22</v>
          </cell>
        </row>
        <row r="218">
          <cell r="B218" t="str">
            <v>SARASERMARINI</v>
          </cell>
          <cell r="C218" t="str">
            <v>SaraSermarini</v>
          </cell>
          <cell r="D218" t="str">
            <v>S</v>
          </cell>
          <cell r="E218" t="str">
            <v>EE</v>
          </cell>
          <cell r="F218" t="str">
            <v>L093530003</v>
          </cell>
          <cell r="G218">
            <v>8.22</v>
          </cell>
        </row>
        <row r="219">
          <cell r="B219" t="str">
            <v>LAWRENCESHANNON MISSAL</v>
          </cell>
          <cell r="C219" t="str">
            <v>LawrenceShannon Missal</v>
          </cell>
          <cell r="D219" t="str">
            <v>FAM</v>
          </cell>
          <cell r="E219" t="str">
            <v>FAM</v>
          </cell>
          <cell r="F219" t="str">
            <v>L093530003</v>
          </cell>
          <cell r="G219">
            <v>23</v>
          </cell>
        </row>
        <row r="220">
          <cell r="B220" t="str">
            <v>MACIESHEWMAKER</v>
          </cell>
          <cell r="C220" t="str">
            <v>MacieShewmaker</v>
          </cell>
          <cell r="D220" t="str">
            <v>FAM</v>
          </cell>
          <cell r="E220" t="str">
            <v>FAM</v>
          </cell>
          <cell r="F220" t="str">
            <v>L093530003</v>
          </cell>
          <cell r="G220">
            <v>23</v>
          </cell>
        </row>
        <row r="221">
          <cell r="B221" t="str">
            <v>MARISSASHIH</v>
          </cell>
          <cell r="C221" t="str">
            <v>MarissaShih</v>
          </cell>
          <cell r="D221" t="str">
            <v>S</v>
          </cell>
          <cell r="E221" t="str">
            <v>EE</v>
          </cell>
          <cell r="F221" t="str">
            <v>L093530003</v>
          </cell>
          <cell r="G221">
            <v>8.22</v>
          </cell>
        </row>
        <row r="222">
          <cell r="B222" t="str">
            <v>ARISILVER</v>
          </cell>
          <cell r="C222" t="str">
            <v>AriSilver</v>
          </cell>
          <cell r="D222" t="str">
            <v>S</v>
          </cell>
          <cell r="E222" t="str">
            <v>EE</v>
          </cell>
          <cell r="F222" t="str">
            <v>L093530003</v>
          </cell>
          <cell r="G222">
            <v>8.22</v>
          </cell>
        </row>
        <row r="223">
          <cell r="B223" t="str">
            <v>DANIELSILVER</v>
          </cell>
          <cell r="C223" t="str">
            <v>DanielSilver</v>
          </cell>
          <cell r="D223" t="str">
            <v>S+DEP</v>
          </cell>
          <cell r="E223" t="str">
            <v>EC</v>
          </cell>
          <cell r="F223" t="str">
            <v>L093530003</v>
          </cell>
          <cell r="G223">
            <v>13.95</v>
          </cell>
        </row>
        <row r="224">
          <cell r="B224" t="str">
            <v>JORDANSINGH</v>
          </cell>
          <cell r="C224" t="str">
            <v>JordanSingh</v>
          </cell>
          <cell r="D224" t="str">
            <v>2P</v>
          </cell>
          <cell r="E224" t="str">
            <v>ES</v>
          </cell>
          <cell r="F224" t="str">
            <v>L093530003</v>
          </cell>
          <cell r="G224">
            <v>16.48</v>
          </cell>
        </row>
        <row r="225">
          <cell r="B225" t="str">
            <v>RISHENDRASINGH</v>
          </cell>
          <cell r="C225" t="str">
            <v>RishendraSingh</v>
          </cell>
          <cell r="D225" t="str">
            <v>S</v>
          </cell>
          <cell r="E225" t="str">
            <v>EE</v>
          </cell>
          <cell r="F225" t="str">
            <v>L093530003</v>
          </cell>
          <cell r="G225">
            <v>8.22</v>
          </cell>
        </row>
        <row r="226">
          <cell r="B226" t="str">
            <v>SOVANNROTHSIV</v>
          </cell>
          <cell r="C226" t="str">
            <v>SovannrothSiv</v>
          </cell>
          <cell r="D226" t="str">
            <v>S</v>
          </cell>
          <cell r="E226" t="str">
            <v>EE</v>
          </cell>
          <cell r="F226" t="str">
            <v>L093530003</v>
          </cell>
          <cell r="G226">
            <v>8.22</v>
          </cell>
        </row>
        <row r="227">
          <cell r="B227" t="str">
            <v>NATHANSMITH</v>
          </cell>
          <cell r="C227" t="str">
            <v>NathanSmith</v>
          </cell>
          <cell r="D227" t="str">
            <v>FAM</v>
          </cell>
          <cell r="E227" t="str">
            <v>FAM</v>
          </cell>
          <cell r="F227" t="str">
            <v>L093530003</v>
          </cell>
          <cell r="G227">
            <v>23</v>
          </cell>
        </row>
        <row r="228">
          <cell r="B228" t="str">
            <v>JUSTINSODANO</v>
          </cell>
          <cell r="C228" t="str">
            <v>JustinSodano</v>
          </cell>
          <cell r="D228" t="str">
            <v>FAM</v>
          </cell>
          <cell r="E228" t="str">
            <v>FAM</v>
          </cell>
          <cell r="F228" t="str">
            <v>L093530003</v>
          </cell>
          <cell r="G228">
            <v>23</v>
          </cell>
        </row>
        <row r="229">
          <cell r="B229" t="str">
            <v>REUBENSTAINES</v>
          </cell>
          <cell r="C229" t="str">
            <v>ReubenStaines</v>
          </cell>
          <cell r="D229" t="str">
            <v>FAM</v>
          </cell>
          <cell r="E229" t="str">
            <v>FAM</v>
          </cell>
          <cell r="F229" t="str">
            <v>L093530003</v>
          </cell>
          <cell r="G229">
            <v>23</v>
          </cell>
        </row>
        <row r="230">
          <cell r="B230" t="str">
            <v>JOZEFSTASIUK</v>
          </cell>
          <cell r="C230" t="str">
            <v>JozefStasiuk</v>
          </cell>
          <cell r="D230" t="str">
            <v>2P</v>
          </cell>
          <cell r="E230" t="str">
            <v>ES</v>
          </cell>
          <cell r="F230" t="str">
            <v>L093530003</v>
          </cell>
          <cell r="G230">
            <v>16.48</v>
          </cell>
        </row>
        <row r="231">
          <cell r="B231" t="str">
            <v>AMYSTEVENS</v>
          </cell>
          <cell r="C231" t="str">
            <v>AmyStevens</v>
          </cell>
          <cell r="D231" t="str">
            <v>S+DEP</v>
          </cell>
          <cell r="E231" t="str">
            <v>EC</v>
          </cell>
          <cell r="F231" t="str">
            <v>L093530003</v>
          </cell>
          <cell r="G231">
            <v>13.95</v>
          </cell>
        </row>
        <row r="232">
          <cell r="B232" t="str">
            <v>JOSHUASTOKES</v>
          </cell>
          <cell r="C232" t="str">
            <v>JoshuaStokes</v>
          </cell>
          <cell r="D232" t="str">
            <v>S</v>
          </cell>
          <cell r="E232" t="str">
            <v>EE</v>
          </cell>
          <cell r="F232" t="str">
            <v>L093530003</v>
          </cell>
          <cell r="G232">
            <v>8.22</v>
          </cell>
        </row>
        <row r="233">
          <cell r="B233" t="str">
            <v>ALISSASTOLLWERK</v>
          </cell>
          <cell r="C233" t="str">
            <v>AlissaStollwerk</v>
          </cell>
          <cell r="D233" t="str">
            <v>FAM</v>
          </cell>
          <cell r="E233" t="str">
            <v>FAM</v>
          </cell>
          <cell r="F233" t="str">
            <v>L093530003</v>
          </cell>
          <cell r="G233">
            <v>23</v>
          </cell>
        </row>
        <row r="234">
          <cell r="B234" t="str">
            <v>BRIANSTULTS</v>
          </cell>
          <cell r="C234" t="str">
            <v>BrianStults</v>
          </cell>
          <cell r="D234" t="str">
            <v>S</v>
          </cell>
          <cell r="E234" t="str">
            <v>EE</v>
          </cell>
          <cell r="F234" t="str">
            <v>L093530003</v>
          </cell>
          <cell r="G234">
            <v>8.22</v>
          </cell>
        </row>
        <row r="235">
          <cell r="B235" t="str">
            <v>ADAMSWING</v>
          </cell>
          <cell r="C235" t="str">
            <v>AdamSwing</v>
          </cell>
          <cell r="D235" t="str">
            <v>2P</v>
          </cell>
          <cell r="E235" t="str">
            <v>ES</v>
          </cell>
          <cell r="F235" t="str">
            <v>L093530003</v>
          </cell>
          <cell r="G235">
            <v>16.48</v>
          </cell>
        </row>
        <row r="236">
          <cell r="B236" t="str">
            <v>MEGANSYMPSON</v>
          </cell>
          <cell r="C236" t="str">
            <v>MeganSympson</v>
          </cell>
          <cell r="D236" t="str">
            <v>S</v>
          </cell>
          <cell r="E236" t="str">
            <v>EE</v>
          </cell>
          <cell r="F236" t="str">
            <v>L093530003</v>
          </cell>
          <cell r="G236">
            <v>8.22</v>
          </cell>
        </row>
        <row r="237">
          <cell r="B237" t="str">
            <v>OLIVERTATE</v>
          </cell>
          <cell r="C237" t="str">
            <v>OliverTate</v>
          </cell>
          <cell r="D237" t="str">
            <v>S</v>
          </cell>
          <cell r="E237" t="str">
            <v>EE</v>
          </cell>
          <cell r="F237" t="str">
            <v>L093530003</v>
          </cell>
          <cell r="G237">
            <v>8.22</v>
          </cell>
        </row>
        <row r="238">
          <cell r="B238" t="str">
            <v>LAURATEMPLETON</v>
          </cell>
          <cell r="C238" t="str">
            <v>LauraTempleton</v>
          </cell>
          <cell r="D238" t="str">
            <v>FAM</v>
          </cell>
          <cell r="E238" t="str">
            <v>FAM</v>
          </cell>
          <cell r="F238" t="str">
            <v>L093530003</v>
          </cell>
          <cell r="G238">
            <v>23</v>
          </cell>
        </row>
        <row r="239">
          <cell r="B239" t="str">
            <v>BETHANYTHOMPSON</v>
          </cell>
          <cell r="C239" t="str">
            <v>BethanyThompson</v>
          </cell>
          <cell r="D239" t="str">
            <v>S</v>
          </cell>
          <cell r="E239" t="str">
            <v>EE</v>
          </cell>
          <cell r="F239" t="str">
            <v>L093530003</v>
          </cell>
          <cell r="G239">
            <v>8.22</v>
          </cell>
        </row>
        <row r="240">
          <cell r="B240" t="str">
            <v>SYDNEYTHOMPSON</v>
          </cell>
          <cell r="C240" t="str">
            <v>SydneyThompson</v>
          </cell>
          <cell r="D240" t="str">
            <v>S</v>
          </cell>
          <cell r="E240" t="str">
            <v>EE</v>
          </cell>
          <cell r="F240" t="str">
            <v>L093530003</v>
          </cell>
          <cell r="G240">
            <v>8.22</v>
          </cell>
        </row>
        <row r="241">
          <cell r="B241" t="str">
            <v>JANETTHORPE</v>
          </cell>
          <cell r="C241" t="str">
            <v>JanetThorpe</v>
          </cell>
          <cell r="D241" t="str">
            <v>S+DEP</v>
          </cell>
          <cell r="E241" t="str">
            <v>EC</v>
          </cell>
          <cell r="F241" t="str">
            <v>L093530003</v>
          </cell>
          <cell r="G241">
            <v>13.95</v>
          </cell>
        </row>
        <row r="242">
          <cell r="B242" t="str">
            <v>DYLANTIMM</v>
          </cell>
          <cell r="C242" t="str">
            <v>DylanTimm</v>
          </cell>
          <cell r="D242" t="str">
            <v>S</v>
          </cell>
          <cell r="E242" t="str">
            <v>EE</v>
          </cell>
          <cell r="F242" t="str">
            <v>L093530003</v>
          </cell>
          <cell r="G242">
            <v>8.22</v>
          </cell>
        </row>
        <row r="243">
          <cell r="B243" t="str">
            <v>CONNORTOLANY</v>
          </cell>
          <cell r="C243" t="str">
            <v>ConnorTolany</v>
          </cell>
          <cell r="D243" t="str">
            <v>S</v>
          </cell>
          <cell r="E243" t="str">
            <v>EE</v>
          </cell>
          <cell r="F243" t="str">
            <v>L093530003</v>
          </cell>
          <cell r="G243">
            <v>8.22</v>
          </cell>
        </row>
        <row r="244">
          <cell r="B244" t="str">
            <v>GEOFFREYTOLLEY</v>
          </cell>
          <cell r="C244" t="str">
            <v>GeoffreyTolley</v>
          </cell>
          <cell r="D244" t="str">
            <v>2P</v>
          </cell>
          <cell r="E244" t="str">
            <v>ES</v>
          </cell>
          <cell r="F244" t="str">
            <v>L093530003</v>
          </cell>
          <cell r="G244">
            <v>16.48</v>
          </cell>
        </row>
        <row r="245">
          <cell r="B245" t="str">
            <v>ALEXANDERTRIPP</v>
          </cell>
          <cell r="C245" t="str">
            <v>AlexanderTripp</v>
          </cell>
          <cell r="D245" t="str">
            <v>2P</v>
          </cell>
          <cell r="E245" t="str">
            <v>ES</v>
          </cell>
          <cell r="F245" t="str">
            <v>L093530003</v>
          </cell>
          <cell r="G245">
            <v>16.48</v>
          </cell>
        </row>
        <row r="246">
          <cell r="B246" t="str">
            <v>DAVIDTROLLOPE</v>
          </cell>
          <cell r="C246" t="str">
            <v>DavidTrollope</v>
          </cell>
          <cell r="D246" t="str">
            <v>2P</v>
          </cell>
          <cell r="E246" t="str">
            <v>ES</v>
          </cell>
          <cell r="F246" t="str">
            <v>L093530003</v>
          </cell>
          <cell r="G246">
            <v>16.48</v>
          </cell>
        </row>
        <row r="247">
          <cell r="B247" t="str">
            <v>SHARONTURLINGTON</v>
          </cell>
          <cell r="C247" t="str">
            <v>SharonTurlington</v>
          </cell>
          <cell r="D247" t="str">
            <v>FAM</v>
          </cell>
          <cell r="E247" t="str">
            <v>FAM</v>
          </cell>
          <cell r="F247" t="str">
            <v>L093530003</v>
          </cell>
          <cell r="G247">
            <v>23</v>
          </cell>
        </row>
        <row r="248">
          <cell r="B248" t="str">
            <v>SARAHUMADHAY</v>
          </cell>
          <cell r="C248" t="str">
            <v>SarahUmadhay</v>
          </cell>
          <cell r="D248" t="str">
            <v>S</v>
          </cell>
          <cell r="E248" t="str">
            <v>EE</v>
          </cell>
          <cell r="F248" t="str">
            <v>L093530003</v>
          </cell>
          <cell r="G248">
            <v>8.22</v>
          </cell>
        </row>
        <row r="249">
          <cell r="B249" t="str">
            <v>STEPHENUTYCH</v>
          </cell>
          <cell r="C249" t="str">
            <v>StephenUtych</v>
          </cell>
          <cell r="D249" t="str">
            <v>FAM</v>
          </cell>
          <cell r="E249" t="str">
            <v>FAM</v>
          </cell>
          <cell r="F249" t="str">
            <v>L093530003</v>
          </cell>
          <cell r="G249">
            <v>23</v>
          </cell>
        </row>
        <row r="250">
          <cell r="B250" t="str">
            <v>MARAVACCARO</v>
          </cell>
          <cell r="C250" t="str">
            <v>MaraVaccaro</v>
          </cell>
          <cell r="D250" t="str">
            <v>S</v>
          </cell>
          <cell r="E250" t="str">
            <v>EE</v>
          </cell>
          <cell r="F250" t="str">
            <v>L093530003</v>
          </cell>
          <cell r="G250">
            <v>8.22</v>
          </cell>
        </row>
        <row r="251">
          <cell r="B251" t="str">
            <v>EMILYVANDEVERT</v>
          </cell>
          <cell r="C251" t="str">
            <v>EmilyVandevert</v>
          </cell>
          <cell r="D251" t="str">
            <v>S</v>
          </cell>
          <cell r="E251" t="str">
            <v>EE</v>
          </cell>
          <cell r="F251" t="str">
            <v>L093530003</v>
          </cell>
          <cell r="G251">
            <v>8.22</v>
          </cell>
        </row>
        <row r="252">
          <cell r="B252" t="str">
            <v>JADEVASQUEZ</v>
          </cell>
          <cell r="C252" t="str">
            <v>JadeVasquez</v>
          </cell>
          <cell r="D252" t="str">
            <v>S</v>
          </cell>
          <cell r="E252" t="str">
            <v>EE</v>
          </cell>
          <cell r="F252" t="str">
            <v>L093530003</v>
          </cell>
          <cell r="G252">
            <v>8.22</v>
          </cell>
        </row>
        <row r="253">
          <cell r="B253" t="str">
            <v>JAVIERVESGA</v>
          </cell>
          <cell r="C253" t="str">
            <v>JavierVesga</v>
          </cell>
          <cell r="D253" t="str">
            <v>2P</v>
          </cell>
          <cell r="E253" t="str">
            <v>ES</v>
          </cell>
          <cell r="F253" t="str">
            <v>L093530003</v>
          </cell>
          <cell r="G253">
            <v>16.48</v>
          </cell>
        </row>
        <row r="254">
          <cell r="B254" t="str">
            <v>OLIVIAWALTERS</v>
          </cell>
          <cell r="C254" t="str">
            <v>OliviaWalters</v>
          </cell>
          <cell r="D254" t="str">
            <v>S</v>
          </cell>
          <cell r="E254" t="str">
            <v>EE</v>
          </cell>
          <cell r="F254" t="str">
            <v>L093530003</v>
          </cell>
          <cell r="G254">
            <v>8.22</v>
          </cell>
        </row>
        <row r="255">
          <cell r="B255" t="str">
            <v>EDMUNDWANG</v>
          </cell>
          <cell r="C255" t="str">
            <v>EdmundWang</v>
          </cell>
          <cell r="D255" t="str">
            <v>S</v>
          </cell>
          <cell r="E255" t="str">
            <v>EE</v>
          </cell>
          <cell r="F255" t="str">
            <v>L093530003</v>
          </cell>
          <cell r="G255">
            <v>8.22</v>
          </cell>
        </row>
        <row r="256">
          <cell r="B256" t="str">
            <v>ELIZABETHWANG</v>
          </cell>
          <cell r="C256" t="str">
            <v>ElizabethWang</v>
          </cell>
          <cell r="D256" t="str">
            <v>S</v>
          </cell>
          <cell r="E256" t="str">
            <v>EE</v>
          </cell>
          <cell r="F256" t="str">
            <v>L093530003</v>
          </cell>
          <cell r="G256">
            <v>8.22</v>
          </cell>
        </row>
        <row r="257">
          <cell r="B257" t="str">
            <v>JASPERWANG</v>
          </cell>
          <cell r="C257" t="str">
            <v>JasperWang</v>
          </cell>
          <cell r="D257" t="str">
            <v>S</v>
          </cell>
          <cell r="E257" t="str">
            <v>EE</v>
          </cell>
          <cell r="F257" t="str">
            <v>L093530003</v>
          </cell>
          <cell r="G257">
            <v>8.22</v>
          </cell>
        </row>
        <row r="258">
          <cell r="B258" t="str">
            <v>ZHENGWANG</v>
          </cell>
          <cell r="C258" t="str">
            <v>ZhengWang</v>
          </cell>
          <cell r="D258" t="str">
            <v>FAM</v>
          </cell>
          <cell r="E258" t="str">
            <v>FAM</v>
          </cell>
          <cell r="F258" t="str">
            <v>L093530003</v>
          </cell>
          <cell r="G258">
            <v>23</v>
          </cell>
        </row>
        <row r="259">
          <cell r="B259" t="str">
            <v>RIANWEINSTEIN</v>
          </cell>
          <cell r="C259" t="str">
            <v>RianWeinstein</v>
          </cell>
          <cell r="D259" t="str">
            <v>S</v>
          </cell>
          <cell r="E259" t="str">
            <v>EE</v>
          </cell>
          <cell r="F259" t="str">
            <v>L093530003</v>
          </cell>
          <cell r="G259">
            <v>8.22</v>
          </cell>
        </row>
        <row r="260">
          <cell r="B260" t="str">
            <v>ELIZABETHWHITE</v>
          </cell>
          <cell r="C260" t="str">
            <v>ElizabethWhite</v>
          </cell>
          <cell r="D260" t="str">
            <v>S</v>
          </cell>
          <cell r="E260" t="str">
            <v>EE</v>
          </cell>
          <cell r="F260" t="str">
            <v>L093530003</v>
          </cell>
          <cell r="G260">
            <v>8.22</v>
          </cell>
        </row>
        <row r="261">
          <cell r="B261" t="str">
            <v>ANNAWHITEHEAD</v>
          </cell>
          <cell r="C261" t="str">
            <v>AnnaWhitehead</v>
          </cell>
          <cell r="D261" t="str">
            <v>S</v>
          </cell>
          <cell r="E261" t="str">
            <v>EE</v>
          </cell>
          <cell r="F261" t="str">
            <v>L093530003</v>
          </cell>
          <cell r="G261">
            <v>8.22</v>
          </cell>
        </row>
        <row r="262">
          <cell r="B262" t="str">
            <v>JOSEPHWILLIAMS</v>
          </cell>
          <cell r="C262" t="str">
            <v>JosephWilliams</v>
          </cell>
          <cell r="D262" t="str">
            <v>S</v>
          </cell>
          <cell r="E262" t="str">
            <v>EE</v>
          </cell>
          <cell r="F262" t="str">
            <v>L093530003</v>
          </cell>
          <cell r="G262">
            <v>8.22</v>
          </cell>
        </row>
        <row r="263">
          <cell r="B263" t="str">
            <v>KATHERINEWILLIAMS</v>
          </cell>
          <cell r="C263" t="str">
            <v>KatherineWilliams</v>
          </cell>
          <cell r="D263" t="str">
            <v>S</v>
          </cell>
          <cell r="E263" t="str">
            <v>EE</v>
          </cell>
          <cell r="F263" t="str">
            <v>L093530003</v>
          </cell>
          <cell r="G263">
            <v>8.22</v>
          </cell>
        </row>
        <row r="264">
          <cell r="B264" t="str">
            <v>JENNIFERWILSON</v>
          </cell>
          <cell r="C264" t="str">
            <v>JenniferWilson</v>
          </cell>
          <cell r="D264" t="str">
            <v>FAM</v>
          </cell>
          <cell r="E264" t="str">
            <v>FAM</v>
          </cell>
          <cell r="F264" t="str">
            <v>L093530003</v>
          </cell>
          <cell r="G264">
            <v>23</v>
          </cell>
        </row>
        <row r="265">
          <cell r="B265" t="str">
            <v>REBECCAWOODS</v>
          </cell>
          <cell r="C265" t="str">
            <v>RebeccaWoods</v>
          </cell>
          <cell r="D265" t="str">
            <v>S+DEP</v>
          </cell>
          <cell r="E265" t="str">
            <v>EC</v>
          </cell>
          <cell r="F265" t="str">
            <v>L093530003</v>
          </cell>
          <cell r="G265">
            <v>13.95</v>
          </cell>
        </row>
        <row r="266">
          <cell r="B266" t="str">
            <v>JENNYYOO</v>
          </cell>
          <cell r="C266" t="str">
            <v>JennyYoo</v>
          </cell>
          <cell r="D266" t="str">
            <v>S</v>
          </cell>
          <cell r="E266" t="str">
            <v>EE</v>
          </cell>
          <cell r="F266" t="str">
            <v>L093530003</v>
          </cell>
          <cell r="G266">
            <v>8.22</v>
          </cell>
        </row>
        <row r="267">
          <cell r="B267" t="str">
            <v>ANDREWYOUN</v>
          </cell>
          <cell r="C267" t="str">
            <v>AndrewYoun</v>
          </cell>
          <cell r="D267" t="str">
            <v>S</v>
          </cell>
          <cell r="E267" t="str">
            <v>EE</v>
          </cell>
          <cell r="F267" t="str">
            <v>L093530003</v>
          </cell>
          <cell r="G267">
            <v>8.22</v>
          </cell>
        </row>
        <row r="268">
          <cell r="B268" t="str">
            <v>CLAIREZEDELIUS</v>
          </cell>
          <cell r="C268" t="str">
            <v>ClaireZedelius</v>
          </cell>
          <cell r="D268" t="str">
            <v>S</v>
          </cell>
          <cell r="E268" t="str">
            <v>EE</v>
          </cell>
          <cell r="F268" t="str">
            <v>L093530003</v>
          </cell>
          <cell r="G268">
            <v>8.22</v>
          </cell>
        </row>
        <row r="269">
          <cell r="B269" t="str">
            <v>XINLINGZHANG</v>
          </cell>
          <cell r="C269" t="str">
            <v>XinlingZhang</v>
          </cell>
          <cell r="D269" t="str">
            <v>FAM</v>
          </cell>
          <cell r="E269" t="str">
            <v>FAM</v>
          </cell>
          <cell r="F269" t="str">
            <v>L093530003</v>
          </cell>
          <cell r="G269">
            <v>23</v>
          </cell>
        </row>
        <row r="270">
          <cell r="B270" t="str">
            <v>ZHIYIZHANG</v>
          </cell>
          <cell r="C270" t="str">
            <v>ZhiyiZhang</v>
          </cell>
          <cell r="D270" t="str">
            <v>S</v>
          </cell>
          <cell r="E270" t="str">
            <v>EE</v>
          </cell>
          <cell r="F270" t="str">
            <v>L093530003</v>
          </cell>
          <cell r="G270">
            <v>8.22</v>
          </cell>
        </row>
        <row r="271">
          <cell r="B271" t="str">
            <v>MINEZHAO</v>
          </cell>
          <cell r="C271" t="str">
            <v>MineZhao</v>
          </cell>
          <cell r="D271" t="str">
            <v>FAM</v>
          </cell>
          <cell r="E271" t="str">
            <v>FAM</v>
          </cell>
          <cell r="F271" t="str">
            <v>L093530003</v>
          </cell>
          <cell r="G271">
            <v>23</v>
          </cell>
        </row>
        <row r="272">
          <cell r="B272" t="str">
            <v>ZACHARIAHZUSSMAN DOBBINS</v>
          </cell>
          <cell r="C272" t="str">
            <v>ZachariahZussman Dobbins</v>
          </cell>
          <cell r="D272" t="str">
            <v>S</v>
          </cell>
          <cell r="E272" t="str">
            <v>EE</v>
          </cell>
          <cell r="F272" t="str">
            <v>L093530003</v>
          </cell>
          <cell r="G272">
            <v>8.22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T530"/>
  <sheetViews>
    <sheetView showGridLines="0" tabSelected="1" zoomScale="85" zoomScaleNormal="85" zoomScaleSheetLayoutView="70" workbookViewId="0">
      <selection activeCell="I30" sqref="I30"/>
    </sheetView>
  </sheetViews>
  <sheetFormatPr defaultColWidth="9.14285714285714" defaultRowHeight="12.75"/>
  <cols>
    <col min="1" max="1" width="6.04761904761905" style="4" customWidth="1"/>
    <col min="2" max="2" width="32.1428571428571" style="4" customWidth="1"/>
    <col min="3" max="3" width="39.5904761904762" style="4" customWidth="1"/>
    <col min="4" max="4" width="14.6857142857143" style="4" customWidth="1"/>
    <col min="5" max="5" width="12.7142857142857" style="5" customWidth="1"/>
    <col min="6" max="6" width="14.5714285714286" style="6" customWidth="1"/>
    <col min="7" max="8" width="23.8571428571429" style="6" customWidth="1"/>
    <col min="9" max="9" width="21.2857142857143" style="4" customWidth="1"/>
    <col min="10" max="10" width="9.38095238095238" style="4" customWidth="1"/>
    <col min="11" max="11" width="41.2190476190476" style="4" customWidth="1"/>
    <col min="12" max="12" width="17.8571428571429" style="7" customWidth="1"/>
    <col min="13" max="13" width="20" style="4" customWidth="1"/>
    <col min="14" max="14" width="19.4285714285714" style="4" customWidth="1"/>
    <col min="15" max="15" width="16.5714285714286" style="7" customWidth="1"/>
    <col min="16" max="16" width="19.7142857142857" style="4" customWidth="1"/>
    <col min="17" max="17" width="19.1428571428571" style="4" customWidth="1"/>
    <col min="18" max="18" width="16.2857142857143" style="7" customWidth="1"/>
    <col min="19" max="19" width="31.4285714285714" style="4" customWidth="1"/>
    <col min="20" max="20" width="11.1428571428571" style="4" customWidth="1"/>
    <col min="21" max="21" width="8.85714285714286" style="4" customWidth="1"/>
    <col min="22" max="22" width="23.4571428571429" style="4" customWidth="1"/>
    <col min="23" max="23" width="11.2857142857143" style="4" customWidth="1"/>
    <col min="24" max="24" width="9" style="4" customWidth="1"/>
    <col min="25" max="25" width="23.8761904761905" style="4" customWidth="1"/>
    <col min="26" max="26" width="11.4285714285714" style="4" customWidth="1"/>
    <col min="27" max="27" width="9.14285714285714" style="4" customWidth="1"/>
    <col min="28" max="28" width="10.7142857142857" style="4" customWidth="1"/>
    <col min="29" max="29" width="59.4285714285714" style="4" customWidth="1"/>
    <col min="30" max="30" width="19.2857142857143" style="4" customWidth="1"/>
    <col min="31" max="31" width="13.5714285714286" style="7" customWidth="1"/>
    <col min="32" max="32" width="9.38095238095238" style="4" customWidth="1"/>
    <col min="33" max="33" width="26.7333333333333" style="4" hidden="1" customWidth="1"/>
    <col min="34" max="37" width="23.8571428571429" style="4" hidden="1" customWidth="1"/>
    <col min="38" max="38" width="5.71428571428571" style="4" hidden="1" customWidth="1"/>
    <col min="39" max="39" width="14" style="4" hidden="1" customWidth="1"/>
    <col min="40" max="40" width="9.57142857142857" style="4" hidden="1" customWidth="1"/>
    <col min="41" max="41" width="5.71428571428571" style="4" hidden="1" customWidth="1"/>
    <col min="42" max="42" width="13.1428571428571" style="4" hidden="1" customWidth="1"/>
    <col min="43" max="43" width="7.28571428571429" style="4" hidden="1" customWidth="1"/>
    <col min="44" max="44" width="5.71428571428571" style="4" hidden="1" customWidth="1"/>
    <col min="45" max="45" width="13.1428571428571" style="4" hidden="1" customWidth="1"/>
    <col min="46" max="46" width="7.28571428571429" style="4" hidden="1" customWidth="1"/>
    <col min="47" max="16384" width="9.14285714285714" style="4"/>
  </cols>
  <sheetData>
    <row r="1" spans="2:32">
      <c r="E1" s="4"/>
      <c r="F1" s="4"/>
      <c r="G1" s="4"/>
      <c r="H1" s="4"/>
    </row>
    <row r="2" spans="2:32">
      <c r="E2" s="4"/>
      <c r="F2" s="4"/>
      <c r="G2" s="4"/>
      <c r="H2" s="4"/>
    </row>
    <row r="3" customHeight="1" spans="2:32">
      <c r="E3" s="4"/>
      <c r="F3" s="4"/>
      <c r="G3" s="4"/>
      <c r="H3" s="4"/>
    </row>
    <row r="4" ht="22.5" customHeight="1" spans="2:32">
      <c r="E4" s="4"/>
      <c r="F4" s="4"/>
      <c r="G4" s="4"/>
      <c r="H4" s="4"/>
    </row>
    <row r="5" ht="49.5" customHeight="1" spans="2:32">
      <c r="B5" s="8" t="s">
        <v>0</v>
      </c>
      <c r="C5" s="9"/>
      <c r="D5" s="9"/>
      <c r="E5" s="9"/>
      <c r="F5" s="9"/>
      <c r="G5" s="9"/>
      <c r="H5" s="9"/>
      <c r="I5" s="9"/>
      <c r="J5" s="9"/>
      <c r="K5" s="9"/>
      <c r="L5" s="10"/>
      <c r="M5" s="9"/>
      <c r="N5" s="9"/>
      <c r="O5" s="10"/>
      <c r="P5" s="9"/>
      <c r="Q5" s="9"/>
      <c r="R5" s="10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0"/>
      <c r="AF5" s="9"/>
    </row>
    <row r="6" customHeight="1" spans="2:32">
      <c r="B6" s="11"/>
      <c r="C6" s="11"/>
      <c r="D6" s="11"/>
      <c r="E6" s="11"/>
      <c r="F6" s="11"/>
      <c r="G6" s="11"/>
      <c r="H6" s="11"/>
      <c r="I6" s="12"/>
      <c r="J6" s="12"/>
      <c r="K6" s="12"/>
      <c r="L6" s="13"/>
      <c r="M6" s="12"/>
      <c r="N6" s="12"/>
      <c r="O6" s="13"/>
      <c r="P6" s="12"/>
      <c r="Q6" s="12"/>
      <c r="R6" s="13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3"/>
      <c r="AF6" s="12"/>
    </row>
    <row r="7" customHeight="1" spans="2:32">
      <c r="D7" s="14"/>
      <c r="E7" s="14"/>
      <c r="F7" s="14"/>
      <c r="G7" s="14"/>
      <c r="H7" s="14"/>
      <c r="I7" s="14"/>
      <c r="J7" s="14"/>
      <c r="K7" s="14"/>
      <c r="L7" s="15"/>
      <c r="M7" s="14"/>
      <c r="N7" s="14"/>
      <c r="O7" s="15"/>
      <c r="P7" s="14"/>
      <c r="Q7" s="14"/>
      <c r="R7" s="15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5"/>
      <c r="AF7" s="14"/>
    </row>
    <row r="8" ht="18" spans="2:32">
      <c r="B8" s="16" t="s">
        <v>1</v>
      </c>
      <c r="C8" s="17" t="s">
        <v>2</v>
      </c>
      <c r="D8" s="18"/>
      <c r="E8" s="18"/>
      <c r="F8" s="19"/>
      <c r="G8" s="20"/>
      <c r="H8" s="20"/>
      <c r="I8" s="21"/>
      <c r="J8" s="21"/>
      <c r="K8" s="21"/>
      <c r="L8" s="22"/>
      <c r="M8" s="21"/>
      <c r="N8" s="21"/>
      <c r="O8" s="22"/>
      <c r="P8" s="21"/>
      <c r="Q8" s="21"/>
      <c r="R8" s="22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2"/>
      <c r="AF8" s="21"/>
    </row>
    <row r="9" ht="18" spans="2:32">
      <c r="B9" s="23" t="s">
        <v>3</v>
      </c>
      <c r="C9" s="24"/>
      <c r="D9" s="25"/>
      <c r="E9" s="25"/>
      <c r="F9" s="26"/>
      <c r="G9" s="27"/>
      <c r="H9" s="27"/>
      <c r="I9" s="21"/>
      <c r="J9" s="21"/>
      <c r="K9" s="21"/>
      <c r="L9" s="22"/>
      <c r="M9" s="21"/>
      <c r="N9" s="21"/>
      <c r="O9" s="22"/>
      <c r="P9" s="21"/>
      <c r="Q9" s="21"/>
      <c r="R9" s="22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2"/>
      <c r="AF9" s="21"/>
    </row>
    <row r="10" spans="2:32">
      <c r="E10" s="4"/>
      <c r="F10" s="4"/>
      <c r="G10" s="4"/>
      <c r="H10" s="4"/>
    </row>
    <row r="11" ht="15.75" spans="2:32">
      <c r="B11" s="28" t="s">
        <v>4</v>
      </c>
      <c r="E11" s="4"/>
      <c r="F11" s="4"/>
      <c r="G11" s="4"/>
      <c r="H11" s="4"/>
    </row>
    <row r="12" ht="15.75" customHeight="1" spans="2:32">
      <c r="B12" s="29" t="s">
        <v>5</v>
      </c>
      <c r="C12" s="30" t="s">
        <v>6</v>
      </c>
      <c r="D12" s="31"/>
      <c r="E12" s="32"/>
      <c r="F12" s="33"/>
      <c r="G12" s="33"/>
      <c r="H12" s="33"/>
    </row>
    <row r="13" ht="15.75" customHeight="1" spans="2:32">
      <c r="B13" s="29" t="s">
        <v>7</v>
      </c>
      <c r="C13" s="34" t="s">
        <v>8</v>
      </c>
      <c r="D13" s="34"/>
      <c r="E13" s="32"/>
      <c r="F13" s="33"/>
      <c r="G13" s="33"/>
      <c r="H13" s="33"/>
    </row>
    <row r="14" ht="15.75" customHeight="1" spans="2:32">
      <c r="B14" s="29" t="s">
        <v>9</v>
      </c>
      <c r="C14" s="30"/>
      <c r="D14" s="31"/>
      <c r="E14" s="35"/>
      <c r="F14" s="36"/>
      <c r="G14" s="36"/>
      <c r="H14" s="36"/>
    </row>
    <row r="15" s="1" customFormat="1" ht="15.75" customHeight="1" spans="2:32">
      <c r="B15" s="29" t="s">
        <v>10</v>
      </c>
      <c r="C15" s="34"/>
      <c r="D15" s="34"/>
      <c r="E15" s="35"/>
      <c r="F15" s="36"/>
      <c r="G15" s="36"/>
      <c r="H15" s="36"/>
      <c r="J15" s="4"/>
      <c r="L15" s="37"/>
      <c r="O15" s="37"/>
      <c r="R15" s="37"/>
      <c r="AE15" s="37"/>
    </row>
    <row r="16" ht="15.75" customHeight="1" spans="2:32">
      <c r="B16" s="29" t="s">
        <v>11</v>
      </c>
      <c r="C16" s="34"/>
      <c r="D16" s="34"/>
      <c r="E16" s="32"/>
      <c r="F16" s="36"/>
      <c r="G16" s="36"/>
      <c r="H16" s="36"/>
    </row>
    <row r="17" ht="15.75" spans="1:46">
      <c r="B17" s="29" t="s">
        <v>12</v>
      </c>
      <c r="C17" s="38"/>
      <c r="D17" s="38"/>
      <c r="E17" s="32"/>
      <c r="F17" s="36"/>
      <c r="G17" s="36"/>
      <c r="H17" s="36"/>
      <c r="J17" s="39"/>
    </row>
    <row r="18" ht="15.75" customHeight="1" spans="1:46">
      <c r="B18" s="29" t="s">
        <v>13</v>
      </c>
      <c r="C18" s="40"/>
      <c r="D18" s="38"/>
      <c r="E18" s="32"/>
      <c r="F18" s="4"/>
      <c r="G18" s="4"/>
      <c r="H18" s="4"/>
    </row>
    <row r="19" spans="1:46">
      <c r="B19" s="32"/>
      <c r="C19" s="41"/>
      <c r="D19" s="32"/>
      <c r="E19" s="32"/>
      <c r="F19" s="4"/>
      <c r="G19" s="4"/>
      <c r="H19" s="4"/>
    </row>
    <row r="20" ht="15.75" spans="1:46">
      <c r="B20" s="42" t="s">
        <v>14</v>
      </c>
      <c r="C20" s="43"/>
      <c r="D20" s="44"/>
      <c r="E20" s="45"/>
      <c r="F20" s="35"/>
      <c r="G20" s="35"/>
      <c r="H20" s="35"/>
      <c r="I20" s="46"/>
      <c r="J20" s="46"/>
      <c r="K20" s="46"/>
      <c r="L20" s="47"/>
      <c r="M20" s="46"/>
      <c r="N20" s="46"/>
      <c r="O20" s="47"/>
      <c r="P20" s="46"/>
      <c r="Q20" s="46"/>
      <c r="R20" s="47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7"/>
      <c r="AF20" s="46"/>
    </row>
    <row r="21" ht="15.75" spans="1:46">
      <c r="B21" s="48" t="s">
        <v>15</v>
      </c>
      <c r="C21" s="49"/>
      <c r="D21" s="50"/>
      <c r="E21" s="45"/>
      <c r="F21" s="35"/>
      <c r="G21" s="35"/>
      <c r="H21" s="35"/>
      <c r="I21" s="46"/>
      <c r="J21" s="46"/>
      <c r="K21" s="46"/>
      <c r="L21" s="47"/>
      <c r="M21" s="46"/>
      <c r="N21" s="46"/>
      <c r="O21" s="47"/>
      <c r="P21" s="46"/>
      <c r="Q21" s="46"/>
      <c r="R21" s="47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7"/>
      <c r="AF21" s="46"/>
    </row>
    <row r="22" ht="15.75" customHeight="1" spans="1:46">
      <c r="B22" s="42" t="s">
        <v>16</v>
      </c>
      <c r="C22" s="30"/>
      <c r="D22" s="31"/>
      <c r="E22" s="51"/>
      <c r="F22" s="51"/>
      <c r="G22" s="51"/>
      <c r="H22" s="51"/>
    </row>
    <row r="23" customHeight="1" spans="1:46">
      <c r="E23" s="4"/>
      <c r="F23" s="4"/>
      <c r="G23" s="4"/>
      <c r="H23" s="4"/>
    </row>
    <row r="24" s="2" customFormat="1" customHeight="1" spans="1:46">
      <c r="B24" s="52" t="s">
        <v>17</v>
      </c>
      <c r="C24" s="52" t="s">
        <v>18</v>
      </c>
      <c r="D24" s="52" t="s">
        <v>19</v>
      </c>
      <c r="E24" s="53" t="s">
        <v>20</v>
      </c>
      <c r="F24" s="52" t="s">
        <v>21</v>
      </c>
      <c r="G24" s="53" t="s">
        <v>22</v>
      </c>
      <c r="H24" s="53" t="s">
        <v>23</v>
      </c>
      <c r="I24" s="53" t="s">
        <v>24</v>
      </c>
      <c r="J24" s="52" t="s">
        <v>25</v>
      </c>
      <c r="K24" s="52" t="s">
        <v>26</v>
      </c>
      <c r="L24" s="54" t="s">
        <v>27</v>
      </c>
      <c r="M24" s="52" t="s">
        <v>28</v>
      </c>
      <c r="N24" s="52" t="s">
        <v>29</v>
      </c>
      <c r="O24" s="54" t="s">
        <v>30</v>
      </c>
      <c r="P24" s="52" t="s">
        <v>31</v>
      </c>
      <c r="Q24" s="52" t="s">
        <v>32</v>
      </c>
      <c r="R24" s="54" t="s">
        <v>33</v>
      </c>
      <c r="S24" s="53" t="s">
        <v>34</v>
      </c>
      <c r="T24" s="53" t="s">
        <v>35</v>
      </c>
      <c r="U24" s="53" t="s">
        <v>36</v>
      </c>
      <c r="V24" s="53" t="s">
        <v>37</v>
      </c>
      <c r="W24" s="53" t="s">
        <v>38</v>
      </c>
      <c r="X24" s="53" t="s">
        <v>39</v>
      </c>
      <c r="Y24" s="53" t="s">
        <v>40</v>
      </c>
      <c r="Z24" s="53" t="s">
        <v>41</v>
      </c>
      <c r="AA24" s="53" t="s">
        <v>42</v>
      </c>
      <c r="AB24" s="52" t="s">
        <v>43</v>
      </c>
      <c r="AC24" s="52" t="s">
        <v>44</v>
      </c>
      <c r="AD24" s="52" t="s">
        <v>45</v>
      </c>
      <c r="AE24" s="55" t="s">
        <v>46</v>
      </c>
      <c r="AF24" s="52" t="s">
        <v>47</v>
      </c>
    </row>
    <row r="25" s="2" customFormat="1" ht="25.5" customHeight="1" spans="1:46">
      <c r="B25" s="53"/>
      <c r="C25" s="53"/>
      <c r="D25" s="53"/>
      <c r="E25" s="56"/>
      <c r="F25" s="53"/>
      <c r="G25" s="56"/>
      <c r="H25" s="56"/>
      <c r="I25" s="56"/>
      <c r="J25" s="53"/>
      <c r="K25" s="53"/>
      <c r="L25" s="57"/>
      <c r="M25" s="53"/>
      <c r="N25" s="53"/>
      <c r="O25" s="57"/>
      <c r="P25" s="52"/>
      <c r="Q25" s="52"/>
      <c r="R25" s="58"/>
      <c r="S25" s="59"/>
      <c r="T25" s="59"/>
      <c r="U25" s="59"/>
      <c r="V25" s="59"/>
      <c r="W25" s="59"/>
      <c r="X25" s="59"/>
      <c r="Y25" s="59"/>
      <c r="Z25" s="59"/>
      <c r="AA25" s="59"/>
      <c r="AB25" s="52"/>
      <c r="AC25" s="52"/>
      <c r="AD25" s="52"/>
      <c r="AE25" s="55"/>
      <c r="AF25" s="52"/>
      <c r="AG25" s="2" t="s">
        <v>48</v>
      </c>
      <c r="AH25" s="2" t="s">
        <v>48</v>
      </c>
      <c r="AI25" s="2" t="s">
        <v>49</v>
      </c>
      <c r="AJ25" s="2" t="s">
        <v>49</v>
      </c>
      <c r="AK25" s="2" t="s">
        <v>48</v>
      </c>
      <c r="AL25" s="2" t="s">
        <v>48</v>
      </c>
    </row>
    <row r="26" s="3" customFormat="1" ht="15" customHeight="1" spans="1:46">
      <c r="A26" s="60">
        <v>1</v>
      </c>
      <c r="B26" s="61" t="s">
        <v>50</v>
      </c>
      <c r="C26" s="61" t="s">
        <v>51</v>
      </c>
      <c r="D26" s="61" t="s">
        <v>52</v>
      </c>
      <c r="E26" s="62">
        <v>31457</v>
      </c>
      <c r="F26" s="61">
        <v>91914</v>
      </c>
      <c r="G26" s="61" t="s">
        <v>53</v>
      </c>
      <c r="H26" s="63" t="s">
        <v>54</v>
      </c>
      <c r="I26" s="64" t="s">
        <v>55</v>
      </c>
      <c r="J26" s="63" t="s">
        <v>56</v>
      </c>
      <c r="K26" s="65" t="s">
        <v>57</v>
      </c>
      <c r="L26" s="66">
        <v>2224.48</v>
      </c>
      <c r="M26" s="67" t="s">
        <v>58</v>
      </c>
      <c r="N26" s="67" t="s">
        <v>59</v>
      </c>
      <c r="O26" s="67">
        <v>147.1</v>
      </c>
      <c r="P26" s="68" t="s">
        <v>55</v>
      </c>
      <c r="Q26" s="67" t="s">
        <v>60</v>
      </c>
      <c r="R26" s="67">
        <v>13.95</v>
      </c>
      <c r="S26" s="69" t="s">
        <v>61</v>
      </c>
      <c r="T26" s="69">
        <v>200000</v>
      </c>
      <c r="U26" s="69"/>
      <c r="V26" s="69" t="s">
        <v>62</v>
      </c>
      <c r="W26" s="69">
        <v>5541.72</v>
      </c>
      <c r="X26" s="69"/>
      <c r="Y26" s="69" t="s">
        <v>63</v>
      </c>
      <c r="Z26" s="69">
        <v>1151</v>
      </c>
      <c r="AA26" s="69"/>
      <c r="AB26" s="70"/>
      <c r="AC26" s="69" t="s">
        <v>64</v>
      </c>
      <c r="AD26" s="69"/>
      <c r="AE26" s="71">
        <v>102739</v>
      </c>
      <c r="AF26" s="69"/>
      <c r="AG26" s="3" t="str">
        <f>B26&amp;C26</f>
        <v>NourAbboud Frank</v>
      </c>
      <c r="AH26" s="3" t="str">
        <f>VLOOKUP($AG26,[1]Sheet8!$B:$G,1,0)</f>
        <v>NOURABBOUD FRANK</v>
      </c>
      <c r="AI26" s="3" t="str">
        <f>VLOOKUP($AG26,[1]Sheet8!$B:$G,4,0)</f>
        <v>EC</v>
      </c>
      <c r="AJ26" s="3" t="str">
        <f>VLOOKUP($AG26,[1]Sheet8!$B:$G,5,0)</f>
        <v>L093530003</v>
      </c>
      <c r="AK26" s="3">
        <f>VLOOKUP($AG26,[1]Sheet8!$B:$G,6,0)</f>
        <v>13.95</v>
      </c>
      <c r="AL26" s="3" t="s">
        <v>55</v>
      </c>
      <c r="AM26" s="3" t="s">
        <v>57</v>
      </c>
      <c r="AN26" s="3">
        <v>2224.48</v>
      </c>
      <c r="AO26" s="3" t="s">
        <v>58</v>
      </c>
      <c r="AP26" s="3" t="s">
        <v>59</v>
      </c>
      <c r="AQ26" s="3">
        <v>147.1</v>
      </c>
      <c r="AR26" s="3" t="s">
        <v>55</v>
      </c>
      <c r="AS26" s="3" t="s">
        <v>60</v>
      </c>
      <c r="AT26" s="3">
        <v>13.95</v>
      </c>
    </row>
    <row r="27" s="3" customFormat="1" ht="15" customHeight="1" spans="1:46">
      <c r="A27" s="60">
        <v>2</v>
      </c>
      <c r="B27" s="61" t="s">
        <v>65</v>
      </c>
      <c r="C27" s="61" t="s">
        <v>66</v>
      </c>
      <c r="D27" s="61" t="s">
        <v>67</v>
      </c>
      <c r="E27" s="62">
        <v>44133</v>
      </c>
      <c r="F27" s="61">
        <v>91914</v>
      </c>
      <c r="G27" s="61" t="s">
        <v>68</v>
      </c>
      <c r="H27" s="63">
        <v>1</v>
      </c>
      <c r="I27" s="64" t="s">
        <v>55</v>
      </c>
      <c r="J27" s="63" t="s">
        <v>56</v>
      </c>
      <c r="K27" s="65"/>
      <c r="L27" s="66"/>
      <c r="M27" s="67"/>
      <c r="N27" s="67"/>
      <c r="O27" s="67"/>
      <c r="P27" s="68"/>
      <c r="Q27" s="67"/>
      <c r="R27" s="67"/>
      <c r="S27" s="69"/>
      <c r="T27" s="69"/>
      <c r="U27" s="69"/>
      <c r="V27" s="69"/>
      <c r="W27" s="69"/>
      <c r="X27" s="69"/>
      <c r="Y27" s="69"/>
      <c r="Z27" s="69"/>
      <c r="AA27" s="69"/>
      <c r="AB27" s="70"/>
      <c r="AC27" s="69"/>
      <c r="AD27" s="69"/>
      <c r="AE27" s="71"/>
      <c r="AF27" s="69"/>
    </row>
    <row r="28" s="3" customFormat="1" ht="15" customHeight="1" spans="1:46">
      <c r="A28" s="60">
        <v>3</v>
      </c>
      <c r="B28" s="61" t="s">
        <v>69</v>
      </c>
      <c r="C28" s="61" t="s">
        <v>66</v>
      </c>
      <c r="D28" s="61" t="s">
        <v>67</v>
      </c>
      <c r="E28" s="62">
        <v>42510</v>
      </c>
      <c r="F28" s="61">
        <v>91914</v>
      </c>
      <c r="G28" s="61" t="s">
        <v>68</v>
      </c>
      <c r="H28" s="63">
        <v>1</v>
      </c>
      <c r="I28" s="64" t="s">
        <v>55</v>
      </c>
      <c r="J28" s="63" t="s">
        <v>56</v>
      </c>
      <c r="K28" s="65"/>
      <c r="L28" s="66"/>
      <c r="M28" s="67"/>
      <c r="N28" s="67"/>
      <c r="O28" s="67"/>
      <c r="P28" s="68"/>
      <c r="Q28" s="67"/>
      <c r="R28" s="67"/>
      <c r="S28" s="69"/>
      <c r="T28" s="69"/>
      <c r="U28" s="69"/>
      <c r="V28" s="69"/>
      <c r="W28" s="69"/>
      <c r="X28" s="69"/>
      <c r="Y28" s="69"/>
      <c r="Z28" s="69"/>
      <c r="AA28" s="69"/>
      <c r="AB28" s="70"/>
      <c r="AC28" s="69"/>
      <c r="AD28" s="69"/>
      <c r="AE28" s="71"/>
      <c r="AF28" s="69"/>
    </row>
    <row r="29" s="3" customFormat="1" ht="15" customHeight="1" spans="1:46">
      <c r="A29" s="60">
        <v>4</v>
      </c>
      <c r="B29" s="61" t="s">
        <v>70</v>
      </c>
      <c r="C29" s="61" t="s">
        <v>71</v>
      </c>
      <c r="D29" s="61" t="s">
        <v>52</v>
      </c>
      <c r="E29" s="62">
        <v>32724</v>
      </c>
      <c r="F29" s="61">
        <v>94568</v>
      </c>
      <c r="G29" s="61" t="s">
        <v>53</v>
      </c>
      <c r="H29" s="63" t="s">
        <v>54</v>
      </c>
      <c r="I29" s="64" t="s">
        <v>53</v>
      </c>
      <c r="J29" s="63" t="s">
        <v>56</v>
      </c>
      <c r="K29" s="65" t="s">
        <v>57</v>
      </c>
      <c r="L29" s="66">
        <v>1235.83</v>
      </c>
      <c r="M29" s="67" t="s">
        <v>53</v>
      </c>
      <c r="N29" s="67" t="s">
        <v>59</v>
      </c>
      <c r="O29" s="67">
        <v>42.39</v>
      </c>
      <c r="P29" s="68" t="s">
        <v>53</v>
      </c>
      <c r="Q29" s="67" t="s">
        <v>60</v>
      </c>
      <c r="R29" s="67">
        <v>8.22</v>
      </c>
      <c r="S29" s="69" t="s">
        <v>61</v>
      </c>
      <c r="T29" s="69">
        <v>208000</v>
      </c>
      <c r="U29" s="69"/>
      <c r="V29" s="69" t="s">
        <v>62</v>
      </c>
      <c r="W29" s="69">
        <v>5778.07</v>
      </c>
      <c r="X29" s="69"/>
      <c r="Y29" s="69" t="s">
        <v>63</v>
      </c>
      <c r="Z29" s="69">
        <v>1200</v>
      </c>
      <c r="AA29" s="69"/>
      <c r="AB29" s="70"/>
      <c r="AC29" s="69" t="s">
        <v>72</v>
      </c>
      <c r="AD29" s="69"/>
      <c r="AE29" s="71">
        <v>104000</v>
      </c>
      <c r="AF29" s="69"/>
      <c r="AG29" s="3" t="str">
        <f>B29&amp;C29</f>
        <v>MeghaAgarwal</v>
      </c>
      <c r="AH29" s="3" t="str">
        <f>VLOOKUP($AG29,[1]Sheet8!$B:$G,1,0)</f>
        <v>MEGHAAGARWAL</v>
      </c>
      <c r="AI29" s="3" t="str">
        <f>VLOOKUP($AG29,[1]Sheet8!$B:$G,4,0)</f>
        <v>EE</v>
      </c>
      <c r="AJ29" s="3" t="str">
        <f>VLOOKUP($AG29,[1]Sheet8!$B:$G,5,0)</f>
        <v>L093530003</v>
      </c>
      <c r="AK29" s="3">
        <f>VLOOKUP($AG29,[1]Sheet8!$B:$G,6,0)</f>
        <v>8.22</v>
      </c>
      <c r="AL29" s="3" t="s">
        <v>53</v>
      </c>
      <c r="AM29" s="3" t="s">
        <v>57</v>
      </c>
      <c r="AN29" s="3">
        <v>1235.83</v>
      </c>
      <c r="AO29" s="3" t="s">
        <v>53</v>
      </c>
      <c r="AP29" s="3" t="s">
        <v>59</v>
      </c>
      <c r="AQ29" s="3">
        <v>42.39</v>
      </c>
      <c r="AR29" s="3" t="s">
        <v>53</v>
      </c>
      <c r="AS29" s="3" t="s">
        <v>60</v>
      </c>
      <c r="AT29" s="3">
        <v>8.22</v>
      </c>
    </row>
    <row r="30" s="3" customFormat="1" ht="15" customHeight="1" spans="1:46">
      <c r="A30" s="60">
        <v>5</v>
      </c>
      <c r="B30" s="61" t="s">
        <v>73</v>
      </c>
      <c r="C30" s="61" t="s">
        <v>74</v>
      </c>
      <c r="D30" s="61" t="s">
        <v>67</v>
      </c>
      <c r="E30" s="62">
        <v>35338</v>
      </c>
      <c r="F30" s="61">
        <v>11211</v>
      </c>
      <c r="G30" s="61" t="s">
        <v>53</v>
      </c>
      <c r="H30" s="63" t="s">
        <v>54</v>
      </c>
      <c r="I30" s="64" t="s">
        <v>53</v>
      </c>
      <c r="J30" s="63" t="s">
        <v>56</v>
      </c>
      <c r="K30" s="65" t="s">
        <v>57</v>
      </c>
      <c r="L30" s="66">
        <v>1235.83</v>
      </c>
      <c r="M30" s="67" t="s">
        <v>53</v>
      </c>
      <c r="N30" s="67" t="s">
        <v>59</v>
      </c>
      <c r="O30" s="67">
        <v>42.39</v>
      </c>
      <c r="P30" s="68" t="s">
        <v>53</v>
      </c>
      <c r="Q30" s="67" t="s">
        <v>60</v>
      </c>
      <c r="R30" s="67">
        <v>8.22</v>
      </c>
      <c r="S30" s="69" t="s">
        <v>61</v>
      </c>
      <c r="T30" s="69">
        <v>197000</v>
      </c>
      <c r="U30" s="69"/>
      <c r="V30" s="69" t="s">
        <v>62</v>
      </c>
      <c r="W30" s="69">
        <v>5469.72</v>
      </c>
      <c r="X30" s="69"/>
      <c r="Y30" s="69" t="s">
        <v>63</v>
      </c>
      <c r="Z30" s="69">
        <v>1136</v>
      </c>
      <c r="AA30" s="69"/>
      <c r="AB30" s="70"/>
      <c r="AC30" s="69" t="s">
        <v>75</v>
      </c>
      <c r="AD30" s="69"/>
      <c r="AE30" s="71">
        <v>102388</v>
      </c>
      <c r="AF30" s="69"/>
      <c r="AG30" s="3" t="str">
        <f>B30&amp;C30</f>
        <v>BilalAkbar</v>
      </c>
      <c r="AH30" s="3" t="str">
        <f>VLOOKUP($AG30,[1]Sheet8!$B:$G,1,0)</f>
        <v>BILALAKBAR</v>
      </c>
      <c r="AI30" s="3" t="str">
        <f>VLOOKUP($AG30,[1]Sheet8!$B:$G,4,0)</f>
        <v>EE</v>
      </c>
      <c r="AJ30" s="3" t="str">
        <f>VLOOKUP($AG30,[1]Sheet8!$B:$G,5,0)</f>
        <v>L093530003</v>
      </c>
      <c r="AK30" s="3">
        <f>VLOOKUP($AG30,[1]Sheet8!$B:$G,6,0)</f>
        <v>8.22</v>
      </c>
      <c r="AL30" s="3" t="s">
        <v>53</v>
      </c>
      <c r="AM30" s="3" t="s">
        <v>57</v>
      </c>
      <c r="AN30" s="3">
        <v>1235.83</v>
      </c>
      <c r="AO30" s="3" t="s">
        <v>53</v>
      </c>
      <c r="AP30" s="3" t="s">
        <v>59</v>
      </c>
      <c r="AQ30" s="3">
        <v>42.39</v>
      </c>
      <c r="AR30" s="3" t="s">
        <v>53</v>
      </c>
      <c r="AS30" s="3" t="s">
        <v>60</v>
      </c>
      <c r="AT30" s="3">
        <v>8.22</v>
      </c>
    </row>
    <row r="31" s="3" customFormat="1" ht="15" customHeight="1" spans="1:46">
      <c r="A31" s="60">
        <v>6</v>
      </c>
      <c r="B31" s="61" t="s">
        <v>76</v>
      </c>
      <c r="C31" s="61" t="s">
        <v>77</v>
      </c>
      <c r="D31" s="61" t="s">
        <v>52</v>
      </c>
      <c r="E31" s="62">
        <v>35410</v>
      </c>
      <c r="F31" s="61">
        <v>92027</v>
      </c>
      <c r="G31" s="61" t="s">
        <v>53</v>
      </c>
      <c r="H31" s="63" t="s">
        <v>54</v>
      </c>
      <c r="I31" s="64" t="s">
        <v>53</v>
      </c>
      <c r="J31" s="63" t="s">
        <v>56</v>
      </c>
      <c r="K31" s="65" t="s">
        <v>57</v>
      </c>
      <c r="L31" s="66">
        <v>1235.83</v>
      </c>
      <c r="M31" s="67" t="s">
        <v>53</v>
      </c>
      <c r="N31" s="67" t="s">
        <v>59</v>
      </c>
      <c r="O31" s="67">
        <v>42.39</v>
      </c>
      <c r="P31" s="68" t="s">
        <v>53</v>
      </c>
      <c r="Q31" s="67" t="s">
        <v>60</v>
      </c>
      <c r="R31" s="67">
        <v>8.22</v>
      </c>
      <c r="S31" s="69" t="s">
        <v>61</v>
      </c>
      <c r="T31" s="69">
        <v>160000</v>
      </c>
      <c r="U31" s="69"/>
      <c r="V31" s="69" t="s">
        <v>62</v>
      </c>
      <c r="W31" s="69">
        <v>4444.67</v>
      </c>
      <c r="X31" s="69"/>
      <c r="Y31" s="69" t="s">
        <v>63</v>
      </c>
      <c r="Z31" s="69">
        <v>923</v>
      </c>
      <c r="AA31" s="69"/>
      <c r="AB31" s="70"/>
      <c r="AC31" s="69" t="s">
        <v>78</v>
      </c>
      <c r="AD31" s="69"/>
      <c r="AE31" s="71">
        <v>82000</v>
      </c>
      <c r="AF31" s="69"/>
      <c r="AG31" s="3" t="str">
        <f>B31&amp;C31</f>
        <v>SimoneAldern</v>
      </c>
      <c r="AH31" s="3" t="str">
        <f>VLOOKUP($AG31,[1]Sheet8!$B:$G,1,0)</f>
        <v>SIMONEALDERN</v>
      </c>
      <c r="AI31" s="3" t="str">
        <f>VLOOKUP($AG31,[1]Sheet8!$B:$G,4,0)</f>
        <v>EE</v>
      </c>
      <c r="AJ31" s="3" t="str">
        <f>VLOOKUP($AG31,[1]Sheet8!$B:$G,5,0)</f>
        <v>L093530003</v>
      </c>
      <c r="AK31" s="3">
        <f>VLOOKUP($AG31,[1]Sheet8!$B:$G,6,0)</f>
        <v>8.22</v>
      </c>
      <c r="AL31" s="3" t="s">
        <v>53</v>
      </c>
      <c r="AM31" s="3" t="s">
        <v>57</v>
      </c>
      <c r="AN31" s="3">
        <v>1235.83</v>
      </c>
      <c r="AO31" s="3" t="s">
        <v>53</v>
      </c>
      <c r="AP31" s="3" t="s">
        <v>59</v>
      </c>
      <c r="AQ31" s="3">
        <v>42.39</v>
      </c>
      <c r="AR31" s="3" t="s">
        <v>53</v>
      </c>
      <c r="AS31" s="3" t="s">
        <v>60</v>
      </c>
      <c r="AT31" s="3">
        <v>8.22</v>
      </c>
    </row>
    <row r="32" s="3" customFormat="1" ht="15" customHeight="1" spans="1:46">
      <c r="A32" s="60">
        <v>7</v>
      </c>
      <c r="B32" s="61" t="s">
        <v>79</v>
      </c>
      <c r="C32" s="61" t="s">
        <v>80</v>
      </c>
      <c r="D32" s="61" t="s">
        <v>52</v>
      </c>
      <c r="E32" s="62">
        <v>30357</v>
      </c>
      <c r="F32" s="61">
        <v>33141</v>
      </c>
      <c r="G32" s="61" t="s">
        <v>53</v>
      </c>
      <c r="H32" s="63" t="s">
        <v>54</v>
      </c>
      <c r="I32" s="64" t="s">
        <v>81</v>
      </c>
      <c r="J32" s="63" t="s">
        <v>56</v>
      </c>
      <c r="K32" s="65" t="s">
        <v>82</v>
      </c>
      <c r="L32" s="66">
        <v>1719.95</v>
      </c>
      <c r="M32" s="67" t="s">
        <v>81</v>
      </c>
      <c r="N32" s="67" t="s">
        <v>59</v>
      </c>
      <c r="O32" s="67">
        <v>84.72</v>
      </c>
      <c r="P32" s="68" t="s">
        <v>81</v>
      </c>
      <c r="Q32" s="67" t="s">
        <v>60</v>
      </c>
      <c r="R32" s="67">
        <v>16.48</v>
      </c>
      <c r="S32" s="69" t="s">
        <v>61</v>
      </c>
      <c r="T32" s="69">
        <v>250000</v>
      </c>
      <c r="U32" s="69"/>
      <c r="V32" s="69" t="s">
        <v>62</v>
      </c>
      <c r="W32" s="69">
        <v>6944.79</v>
      </c>
      <c r="X32" s="69"/>
      <c r="Y32" s="69" t="s">
        <v>63</v>
      </c>
      <c r="Z32" s="69">
        <v>1442</v>
      </c>
      <c r="AA32" s="69"/>
      <c r="AB32" s="70"/>
      <c r="AC32" s="69" t="s">
        <v>83</v>
      </c>
      <c r="AD32" s="69"/>
      <c r="AE32" s="71">
        <v>134500</v>
      </c>
      <c r="AF32" s="69"/>
      <c r="AG32" s="3" t="str">
        <f>B32&amp;C32</f>
        <v>SaraAlmira Cruz</v>
      </c>
      <c r="AH32" s="3" t="str">
        <f>VLOOKUP($AG32,[1]Sheet8!$B:$G,1,0)</f>
        <v>SARAALMIRA CRUZ</v>
      </c>
      <c r="AI32" s="3" t="str">
        <f>VLOOKUP($AG32,[1]Sheet8!$B:$G,4,0)</f>
        <v>ES</v>
      </c>
      <c r="AJ32" s="3" t="str">
        <f>VLOOKUP($AG32,[1]Sheet8!$B:$G,5,0)</f>
        <v>L093530003</v>
      </c>
      <c r="AK32" s="3">
        <f>VLOOKUP($AG32,[1]Sheet8!$B:$G,6,0)</f>
        <v>16.48</v>
      </c>
      <c r="AL32" s="3" t="s">
        <v>81</v>
      </c>
      <c r="AM32" s="3" t="s">
        <v>82</v>
      </c>
      <c r="AN32" s="3">
        <v>1719.95</v>
      </c>
      <c r="AO32" s="3" t="s">
        <v>81</v>
      </c>
      <c r="AP32" s="3" t="s">
        <v>59</v>
      </c>
      <c r="AQ32" s="3">
        <v>84.72</v>
      </c>
      <c r="AR32" s="3" t="s">
        <v>81</v>
      </c>
      <c r="AS32" s="3" t="s">
        <v>60</v>
      </c>
      <c r="AT32" s="3">
        <v>16.48</v>
      </c>
    </row>
    <row r="33" s="3" customFormat="1" ht="15" customHeight="1" spans="1:46">
      <c r="A33" s="60">
        <v>8</v>
      </c>
      <c r="B33" s="61" t="s">
        <v>84</v>
      </c>
      <c r="C33" s="61" t="s">
        <v>80</v>
      </c>
      <c r="D33" s="61" t="s">
        <v>67</v>
      </c>
      <c r="E33" s="62">
        <v>27999</v>
      </c>
      <c r="F33" s="61">
        <v>10032</v>
      </c>
      <c r="G33" s="61" t="s">
        <v>85</v>
      </c>
      <c r="H33" s="63">
        <v>7</v>
      </c>
      <c r="I33" s="64" t="s">
        <v>81</v>
      </c>
      <c r="J33" s="63" t="s">
        <v>56</v>
      </c>
      <c r="K33" s="65"/>
      <c r="L33" s="66"/>
      <c r="M33" s="67"/>
      <c r="N33" s="67"/>
      <c r="O33" s="67"/>
      <c r="P33" s="68"/>
      <c r="Q33" s="67"/>
      <c r="R33" s="67"/>
      <c r="S33" s="69"/>
      <c r="T33" s="69"/>
      <c r="U33" s="69"/>
      <c r="V33" s="69"/>
      <c r="W33" s="69"/>
      <c r="X33" s="69"/>
      <c r="Y33" s="69"/>
      <c r="Z33" s="69"/>
      <c r="AA33" s="69"/>
      <c r="AB33" s="70"/>
      <c r="AC33" s="69"/>
      <c r="AD33" s="69"/>
      <c r="AE33" s="71"/>
      <c r="AF33" s="69"/>
    </row>
    <row r="34" s="3" customFormat="1" ht="15" customHeight="1" spans="1:46">
      <c r="A34" s="60">
        <v>9</v>
      </c>
      <c r="B34" s="61" t="s">
        <v>86</v>
      </c>
      <c r="C34" s="61" t="s">
        <v>87</v>
      </c>
      <c r="D34" s="61" t="s">
        <v>67</v>
      </c>
      <c r="E34" s="62">
        <v>26603</v>
      </c>
      <c r="F34" s="61" t="s">
        <v>88</v>
      </c>
      <c r="G34" s="61" t="s">
        <v>53</v>
      </c>
      <c r="H34" s="63" t="s">
        <v>54</v>
      </c>
      <c r="I34" s="64" t="s">
        <v>58</v>
      </c>
      <c r="J34" s="63" t="s">
        <v>56</v>
      </c>
      <c r="K34" s="65" t="s">
        <v>57</v>
      </c>
      <c r="L34" s="66">
        <v>3831.06</v>
      </c>
      <c r="M34" s="67" t="s">
        <v>58</v>
      </c>
      <c r="N34" s="67" t="s">
        <v>59</v>
      </c>
      <c r="O34" s="67">
        <v>147.1</v>
      </c>
      <c r="P34" s="68" t="s">
        <v>81</v>
      </c>
      <c r="Q34" s="67" t="s">
        <v>60</v>
      </c>
      <c r="R34" s="67">
        <v>16.48</v>
      </c>
      <c r="S34" s="69" t="s">
        <v>61</v>
      </c>
      <c r="T34" s="69">
        <v>250000</v>
      </c>
      <c r="U34" s="69"/>
      <c r="V34" s="69" t="s">
        <v>62</v>
      </c>
      <c r="W34" s="69">
        <v>8565.87</v>
      </c>
      <c r="X34" s="69"/>
      <c r="Y34" s="69" t="s">
        <v>63</v>
      </c>
      <c r="Z34" s="69">
        <v>1779</v>
      </c>
      <c r="AA34" s="69"/>
      <c r="AB34" s="70"/>
      <c r="AC34" s="69" t="s">
        <v>89</v>
      </c>
      <c r="AD34" s="69"/>
      <c r="AE34" s="71">
        <v>158804</v>
      </c>
      <c r="AF34" s="69"/>
      <c r="AG34" s="3" t="str">
        <f>B34&amp;C34</f>
        <v>AnthonyAltieri</v>
      </c>
      <c r="AH34" s="3" t="str">
        <f>VLOOKUP($AG34,[1]Sheet8!$B:$G,1,0)</f>
        <v>ANTHONYALTIERI</v>
      </c>
      <c r="AI34" s="3" t="str">
        <f>VLOOKUP($AG34,[1]Sheet8!$B:$G,4,0)</f>
        <v>ES</v>
      </c>
      <c r="AJ34" s="3" t="str">
        <f>VLOOKUP($AG34,[1]Sheet8!$B:$G,5,0)</f>
        <v>L093530003</v>
      </c>
      <c r="AK34" s="3">
        <f>VLOOKUP($AG34,[1]Sheet8!$B:$G,6,0)</f>
        <v>16.48</v>
      </c>
      <c r="AL34" s="3" t="s">
        <v>58</v>
      </c>
      <c r="AM34" s="3" t="s">
        <v>57</v>
      </c>
      <c r="AN34" s="3">
        <v>3831.06</v>
      </c>
      <c r="AO34" s="3" t="s">
        <v>58</v>
      </c>
      <c r="AP34" s="3" t="s">
        <v>59</v>
      </c>
      <c r="AQ34" s="3">
        <v>147.1</v>
      </c>
      <c r="AR34" s="3" t="s">
        <v>81</v>
      </c>
      <c r="AS34" s="3" t="s">
        <v>60</v>
      </c>
      <c r="AT34" s="3">
        <v>16.48</v>
      </c>
    </row>
    <row r="35" s="3" customFormat="1" ht="15" customHeight="1" spans="1:46">
      <c r="A35" s="60">
        <v>10</v>
      </c>
      <c r="B35" s="61" t="s">
        <v>90</v>
      </c>
      <c r="C35" s="61" t="s">
        <v>87</v>
      </c>
      <c r="D35" s="61" t="s">
        <v>52</v>
      </c>
      <c r="E35" s="62">
        <v>40124</v>
      </c>
      <c r="F35" s="61" t="s">
        <v>88</v>
      </c>
      <c r="G35" s="61" t="s">
        <v>68</v>
      </c>
      <c r="H35" s="63">
        <v>9</v>
      </c>
      <c r="I35" s="64" t="s">
        <v>58</v>
      </c>
      <c r="J35" s="63" t="s">
        <v>56</v>
      </c>
      <c r="K35" s="65"/>
      <c r="L35" s="66"/>
      <c r="M35" s="67"/>
      <c r="N35" s="67"/>
      <c r="O35" s="67"/>
      <c r="P35" s="68"/>
      <c r="Q35" s="67"/>
      <c r="R35" s="67"/>
      <c r="S35" s="69"/>
      <c r="T35" s="69"/>
      <c r="U35" s="69"/>
      <c r="V35" s="69"/>
      <c r="W35" s="69"/>
      <c r="X35" s="69"/>
      <c r="Y35" s="69"/>
      <c r="Z35" s="69"/>
      <c r="AA35" s="69"/>
      <c r="AB35" s="70"/>
      <c r="AC35" s="69"/>
      <c r="AD35" s="69"/>
      <c r="AE35" s="71"/>
      <c r="AF35" s="69"/>
    </row>
    <row r="36" s="3" customFormat="1" ht="15" customHeight="1" spans="1:46">
      <c r="A36" s="60">
        <v>11</v>
      </c>
      <c r="B36" s="61" t="s">
        <v>91</v>
      </c>
      <c r="C36" s="61" t="s">
        <v>87</v>
      </c>
      <c r="D36" s="61" t="s">
        <v>52</v>
      </c>
      <c r="E36" s="62">
        <v>26792</v>
      </c>
      <c r="F36" s="61" t="s">
        <v>88</v>
      </c>
      <c r="G36" s="61" t="s">
        <v>85</v>
      </c>
      <c r="H36" s="63">
        <v>9</v>
      </c>
      <c r="I36" s="64" t="s">
        <v>58</v>
      </c>
      <c r="J36" s="63" t="s">
        <v>56</v>
      </c>
      <c r="K36" s="65"/>
      <c r="L36" s="66"/>
      <c r="M36" s="67"/>
      <c r="N36" s="67"/>
      <c r="O36" s="67"/>
      <c r="P36" s="68"/>
      <c r="Q36" s="67"/>
      <c r="R36" s="67"/>
      <c r="S36" s="69"/>
      <c r="T36" s="69"/>
      <c r="U36" s="69"/>
      <c r="V36" s="69"/>
      <c r="W36" s="69"/>
      <c r="X36" s="69"/>
      <c r="Y36" s="69"/>
      <c r="Z36" s="69"/>
      <c r="AA36" s="69"/>
      <c r="AB36" s="70"/>
      <c r="AC36" s="69"/>
      <c r="AD36" s="69"/>
      <c r="AE36" s="71"/>
      <c r="AF36" s="69"/>
    </row>
    <row r="37" s="3" customFormat="1" ht="15" customHeight="1" spans="1:46">
      <c r="A37" s="60">
        <v>12</v>
      </c>
      <c r="B37" s="61" t="s">
        <v>92</v>
      </c>
      <c r="C37" s="61" t="s">
        <v>87</v>
      </c>
      <c r="D37" s="61" t="s">
        <v>67</v>
      </c>
      <c r="E37" s="62">
        <v>41451</v>
      </c>
      <c r="F37" s="61" t="s">
        <v>88</v>
      </c>
      <c r="G37" s="61" t="s">
        <v>68</v>
      </c>
      <c r="H37" s="63">
        <v>9</v>
      </c>
      <c r="I37" s="64" t="s">
        <v>58</v>
      </c>
      <c r="J37" s="63" t="s">
        <v>56</v>
      </c>
      <c r="K37" s="65"/>
      <c r="L37" s="66"/>
      <c r="M37" s="67"/>
      <c r="N37" s="67"/>
      <c r="O37" s="67"/>
      <c r="P37" s="68"/>
      <c r="Q37" s="67"/>
      <c r="R37" s="67"/>
      <c r="S37" s="69"/>
      <c r="T37" s="69"/>
      <c r="U37" s="69"/>
      <c r="V37" s="69"/>
      <c r="W37" s="69"/>
      <c r="X37" s="69"/>
      <c r="Y37" s="69"/>
      <c r="Z37" s="69"/>
      <c r="AA37" s="69"/>
      <c r="AB37" s="70"/>
      <c r="AC37" s="69"/>
      <c r="AD37" s="69"/>
      <c r="AE37" s="71"/>
      <c r="AF37" s="69"/>
    </row>
    <row r="38" s="3" customFormat="1" ht="15" customHeight="1" spans="1:46">
      <c r="A38" s="60">
        <v>13</v>
      </c>
      <c r="B38" s="61" t="s">
        <v>93</v>
      </c>
      <c r="C38" s="61" t="s">
        <v>94</v>
      </c>
      <c r="D38" s="61" t="s">
        <v>52</v>
      </c>
      <c r="E38" s="62">
        <v>35256</v>
      </c>
      <c r="F38" s="61">
        <v>97035</v>
      </c>
      <c r="G38" s="61" t="s">
        <v>53</v>
      </c>
      <c r="H38" s="63" t="s">
        <v>54</v>
      </c>
      <c r="I38" s="64" t="s">
        <v>53</v>
      </c>
      <c r="J38" s="63" t="s">
        <v>56</v>
      </c>
      <c r="K38" s="65" t="s">
        <v>57</v>
      </c>
      <c r="L38" s="66">
        <v>1235.83</v>
      </c>
      <c r="M38" s="67" t="s">
        <v>53</v>
      </c>
      <c r="N38" s="67" t="s">
        <v>59</v>
      </c>
      <c r="O38" s="67">
        <v>42.39</v>
      </c>
      <c r="P38" s="68" t="s">
        <v>53</v>
      </c>
      <c r="Q38" s="67" t="s">
        <v>60</v>
      </c>
      <c r="R38" s="67">
        <v>8.22</v>
      </c>
      <c r="S38" s="69" t="s">
        <v>61</v>
      </c>
      <c r="T38" s="69">
        <v>250000</v>
      </c>
      <c r="U38" s="69"/>
      <c r="V38" s="69" t="s">
        <v>62</v>
      </c>
      <c r="W38" s="69">
        <v>8620.21</v>
      </c>
      <c r="X38" s="69"/>
      <c r="Y38" s="69" t="s">
        <v>63</v>
      </c>
      <c r="Z38" s="69">
        <v>1790</v>
      </c>
      <c r="AA38" s="69"/>
      <c r="AB38" s="70"/>
      <c r="AC38" s="69" t="s">
        <v>95</v>
      </c>
      <c r="AD38" s="69"/>
      <c r="AE38" s="71">
        <v>161362</v>
      </c>
      <c r="AF38" s="69"/>
      <c r="AG38" s="3" t="str">
        <f>B38&amp;C38</f>
        <v>SarahAmini</v>
      </c>
      <c r="AH38" s="3" t="str">
        <f>VLOOKUP($AG38,[1]Sheet8!$B:$G,1,0)</f>
        <v>SARAHAMINI</v>
      </c>
      <c r="AI38" s="3" t="str">
        <f>VLOOKUP($AG38,[1]Sheet8!$B:$G,4,0)</f>
        <v>EE</v>
      </c>
      <c r="AJ38" s="3" t="str">
        <f>VLOOKUP($AG38,[1]Sheet8!$B:$G,5,0)</f>
        <v>L093530003</v>
      </c>
      <c r="AK38" s="3">
        <f>VLOOKUP($AG38,[1]Sheet8!$B:$G,6,0)</f>
        <v>8.22</v>
      </c>
      <c r="AL38" s="3" t="s">
        <v>53</v>
      </c>
      <c r="AM38" s="3" t="s">
        <v>57</v>
      </c>
      <c r="AN38" s="3">
        <v>1235.83</v>
      </c>
      <c r="AO38" s="3" t="s">
        <v>53</v>
      </c>
      <c r="AP38" s="3" t="s">
        <v>59</v>
      </c>
      <c r="AQ38" s="3">
        <v>42.39</v>
      </c>
      <c r="AR38" s="3" t="s">
        <v>53</v>
      </c>
      <c r="AS38" s="3" t="s">
        <v>60</v>
      </c>
      <c r="AT38" s="3">
        <v>8.22</v>
      </c>
    </row>
    <row r="39" s="3" customFormat="1" ht="15" customHeight="1" spans="1:46">
      <c r="A39" s="60">
        <v>14</v>
      </c>
      <c r="B39" s="61" t="s">
        <v>96</v>
      </c>
      <c r="C39" s="61" t="s">
        <v>97</v>
      </c>
      <c r="D39" s="61" t="s">
        <v>52</v>
      </c>
      <c r="E39" s="62">
        <v>22654</v>
      </c>
      <c r="F39" s="61">
        <v>72354</v>
      </c>
      <c r="G39" s="61" t="s">
        <v>53</v>
      </c>
      <c r="H39" s="63" t="s">
        <v>54</v>
      </c>
      <c r="I39" s="64" t="s">
        <v>53</v>
      </c>
      <c r="J39" s="63" t="s">
        <v>56</v>
      </c>
      <c r="K39" s="65" t="s">
        <v>57</v>
      </c>
      <c r="L39" s="66">
        <v>1235.83</v>
      </c>
      <c r="M39" s="67" t="s">
        <v>53</v>
      </c>
      <c r="N39" s="67" t="s">
        <v>59</v>
      </c>
      <c r="O39" s="67">
        <v>42.39</v>
      </c>
      <c r="P39" s="68" t="s">
        <v>53</v>
      </c>
      <c r="Q39" s="67" t="s">
        <v>60</v>
      </c>
      <c r="R39" s="67">
        <v>8.22</v>
      </c>
      <c r="S39" s="69" t="s">
        <v>61</v>
      </c>
      <c r="T39" s="69">
        <v>214000</v>
      </c>
      <c r="U39" s="69"/>
      <c r="V39" s="69" t="s">
        <v>62</v>
      </c>
      <c r="W39" s="69">
        <v>5935.46</v>
      </c>
      <c r="X39" s="69"/>
      <c r="Y39" s="69" t="s">
        <v>63</v>
      </c>
      <c r="Z39" s="69">
        <v>1233</v>
      </c>
      <c r="AA39" s="69"/>
      <c r="AB39" s="70"/>
      <c r="AC39" s="69" t="s">
        <v>98</v>
      </c>
      <c r="AD39" s="69"/>
      <c r="AE39" s="71">
        <v>110038</v>
      </c>
      <c r="AF39" s="69"/>
      <c r="AG39" s="3" t="str">
        <f>B39&amp;C39</f>
        <v>TambraAngle</v>
      </c>
      <c r="AH39" s="3" t="str">
        <f>VLOOKUP($AG39,[1]Sheet8!$B:$G,1,0)</f>
        <v>TAMBRAANGLE</v>
      </c>
      <c r="AI39" s="3" t="str">
        <f>VLOOKUP($AG39,[1]Sheet8!$B:$G,4,0)</f>
        <v>EE</v>
      </c>
      <c r="AJ39" s="3" t="str">
        <f>VLOOKUP($AG39,[1]Sheet8!$B:$G,5,0)</f>
        <v>L093530003</v>
      </c>
      <c r="AK39" s="3">
        <f>VLOOKUP($AG39,[1]Sheet8!$B:$G,6,0)</f>
        <v>8.22</v>
      </c>
      <c r="AL39" s="3" t="s">
        <v>53</v>
      </c>
      <c r="AM39" s="3" t="s">
        <v>57</v>
      </c>
      <c r="AN39" s="3">
        <v>1235.83</v>
      </c>
      <c r="AO39" s="3" t="s">
        <v>53</v>
      </c>
      <c r="AP39" s="3" t="s">
        <v>59</v>
      </c>
      <c r="AQ39" s="3">
        <v>42.39</v>
      </c>
      <c r="AR39" s="3" t="s">
        <v>53</v>
      </c>
      <c r="AS39" s="3" t="s">
        <v>60</v>
      </c>
      <c r="AT39" s="3">
        <v>8.22</v>
      </c>
    </row>
    <row r="40" s="3" customFormat="1" ht="15" customHeight="1" spans="1:46">
      <c r="A40" s="60">
        <v>15</v>
      </c>
      <c r="B40" s="61" t="s">
        <v>93</v>
      </c>
      <c r="C40" s="61" t="s">
        <v>99</v>
      </c>
      <c r="D40" s="61" t="s">
        <v>52</v>
      </c>
      <c r="E40" s="62">
        <v>31924</v>
      </c>
      <c r="F40" s="61">
        <v>74014</v>
      </c>
      <c r="G40" s="61" t="s">
        <v>53</v>
      </c>
      <c r="H40" s="63" t="s">
        <v>54</v>
      </c>
      <c r="I40" s="64" t="s">
        <v>81</v>
      </c>
      <c r="J40" s="63" t="s">
        <v>56</v>
      </c>
      <c r="K40" s="65" t="s">
        <v>82</v>
      </c>
      <c r="L40" s="66">
        <v>1719.95</v>
      </c>
      <c r="M40" s="67" t="s">
        <v>81</v>
      </c>
      <c r="N40" s="67" t="s">
        <v>59</v>
      </c>
      <c r="O40" s="67">
        <v>84.72</v>
      </c>
      <c r="P40" s="68" t="s">
        <v>81</v>
      </c>
      <c r="Q40" s="67" t="s">
        <v>60</v>
      </c>
      <c r="R40" s="67">
        <v>16.48</v>
      </c>
      <c r="S40" s="69" t="s">
        <v>61</v>
      </c>
      <c r="T40" s="69">
        <v>240000</v>
      </c>
      <c r="U40" s="69"/>
      <c r="V40" s="69" t="s">
        <v>62</v>
      </c>
      <c r="W40" s="69">
        <v>6667</v>
      </c>
      <c r="X40" s="69"/>
      <c r="Y40" s="69" t="s">
        <v>63</v>
      </c>
      <c r="Z40" s="69">
        <v>1385</v>
      </c>
      <c r="AA40" s="69"/>
      <c r="AB40" s="70"/>
      <c r="AC40" s="69" t="s">
        <v>100</v>
      </c>
      <c r="AD40" s="69"/>
      <c r="AE40" s="71">
        <v>125400</v>
      </c>
      <c r="AF40" s="69"/>
      <c r="AG40" s="3" t="str">
        <f>B40&amp;C40</f>
        <v>SarahAnoke</v>
      </c>
      <c r="AH40" s="3" t="str">
        <f>VLOOKUP($AG40,[1]Sheet8!$B:$G,1,0)</f>
        <v>SARAHANOKE</v>
      </c>
      <c r="AI40" s="3" t="str">
        <f>VLOOKUP($AG40,[1]Sheet8!$B:$G,4,0)</f>
        <v>ES</v>
      </c>
      <c r="AJ40" s="3" t="str">
        <f>VLOOKUP($AG40,[1]Sheet8!$B:$G,5,0)</f>
        <v>L093530003</v>
      </c>
      <c r="AK40" s="3">
        <f>VLOOKUP($AG40,[1]Sheet8!$B:$G,6,0)</f>
        <v>16.48</v>
      </c>
      <c r="AL40" s="3" t="s">
        <v>81</v>
      </c>
      <c r="AM40" s="3" t="s">
        <v>82</v>
      </c>
      <c r="AN40" s="3">
        <v>1719.95</v>
      </c>
      <c r="AO40" s="3" t="s">
        <v>81</v>
      </c>
      <c r="AP40" s="3" t="s">
        <v>59</v>
      </c>
      <c r="AQ40" s="3">
        <v>84.72</v>
      </c>
      <c r="AR40" s="3" t="s">
        <v>81</v>
      </c>
      <c r="AS40" s="3" t="s">
        <v>60</v>
      </c>
      <c r="AT40" s="3">
        <v>16.48</v>
      </c>
    </row>
    <row r="41" s="3" customFormat="1" ht="15" customHeight="1" spans="1:46">
      <c r="A41" s="60">
        <v>16</v>
      </c>
      <c r="B41" s="61" t="s">
        <v>101</v>
      </c>
      <c r="C41" s="61" t="s">
        <v>102</v>
      </c>
      <c r="D41" s="61" t="s">
        <v>67</v>
      </c>
      <c r="E41" s="62">
        <v>30819</v>
      </c>
      <c r="F41" s="61">
        <v>74014</v>
      </c>
      <c r="G41" s="61" t="s">
        <v>85</v>
      </c>
      <c r="H41" s="63">
        <v>15</v>
      </c>
      <c r="I41" s="64" t="s">
        <v>81</v>
      </c>
      <c r="J41" s="63" t="s">
        <v>56</v>
      </c>
      <c r="K41" s="65"/>
      <c r="L41" s="66"/>
      <c r="M41" s="67"/>
      <c r="N41" s="67"/>
      <c r="O41" s="67"/>
      <c r="P41" s="68"/>
      <c r="Q41" s="67"/>
      <c r="R41" s="67"/>
      <c r="S41" s="69"/>
      <c r="T41" s="69"/>
      <c r="U41" s="69"/>
      <c r="V41" s="69"/>
      <c r="W41" s="69"/>
      <c r="X41" s="69"/>
      <c r="Y41" s="69"/>
      <c r="Z41" s="69"/>
      <c r="AA41" s="69"/>
      <c r="AB41" s="70"/>
      <c r="AC41" s="69"/>
      <c r="AD41" s="69"/>
      <c r="AE41" s="71"/>
      <c r="AF41" s="69"/>
    </row>
    <row r="42" s="3" customFormat="1" ht="15" customHeight="1" spans="1:46">
      <c r="A42" s="60">
        <v>17</v>
      </c>
      <c r="B42" s="61" t="s">
        <v>103</v>
      </c>
      <c r="C42" s="61" t="s">
        <v>104</v>
      </c>
      <c r="D42" s="61" t="s">
        <v>67</v>
      </c>
      <c r="E42" s="62">
        <v>34740</v>
      </c>
      <c r="F42" s="61" t="s">
        <v>105</v>
      </c>
      <c r="G42" s="61" t="s">
        <v>53</v>
      </c>
      <c r="H42" s="63" t="s">
        <v>54</v>
      </c>
      <c r="I42" s="64" t="s">
        <v>53</v>
      </c>
      <c r="J42" s="63" t="s">
        <v>56</v>
      </c>
      <c r="K42" s="65" t="s">
        <v>82</v>
      </c>
      <c r="L42" s="66">
        <v>781.79</v>
      </c>
      <c r="M42" s="67" t="s">
        <v>53</v>
      </c>
      <c r="N42" s="67" t="s">
        <v>59</v>
      </c>
      <c r="O42" s="67">
        <v>42.39</v>
      </c>
      <c r="P42" s="68" t="s">
        <v>53</v>
      </c>
      <c r="Q42" s="67" t="s">
        <v>60</v>
      </c>
      <c r="R42" s="67">
        <v>8.22</v>
      </c>
      <c r="S42" s="69" t="s">
        <v>61</v>
      </c>
      <c r="T42" s="69">
        <v>130000</v>
      </c>
      <c r="U42" s="69"/>
      <c r="V42" s="69" t="s">
        <v>62</v>
      </c>
      <c r="W42" s="69">
        <v>3611.29</v>
      </c>
      <c r="X42" s="69"/>
      <c r="Y42" s="69" t="s">
        <v>63</v>
      </c>
      <c r="Z42" s="69">
        <v>750</v>
      </c>
      <c r="AA42" s="69"/>
      <c r="AB42" s="70"/>
      <c r="AC42" s="69" t="s">
        <v>106</v>
      </c>
      <c r="AD42" s="69"/>
      <c r="AE42" s="71">
        <v>76000</v>
      </c>
      <c r="AF42" s="69"/>
      <c r="AG42" s="3" t="str">
        <f>B42&amp;C42</f>
        <v>MuhammadAsad</v>
      </c>
      <c r="AH42" s="3" t="str">
        <f>VLOOKUP($AG42,[1]Sheet8!$B:$G,1,0)</f>
        <v>MUHAMMADASAD</v>
      </c>
      <c r="AI42" s="3" t="str">
        <f>VLOOKUP($AG42,[1]Sheet8!$B:$G,4,0)</f>
        <v>EE</v>
      </c>
      <c r="AJ42" s="3" t="str">
        <f>VLOOKUP($AG42,[1]Sheet8!$B:$G,5,0)</f>
        <v>L093530003</v>
      </c>
      <c r="AK42" s="3">
        <f>VLOOKUP($AG42,[1]Sheet8!$B:$G,6,0)</f>
        <v>8.22</v>
      </c>
      <c r="AL42" s="3" t="s">
        <v>53</v>
      </c>
      <c r="AM42" s="3" t="s">
        <v>82</v>
      </c>
      <c r="AN42" s="3">
        <v>781.79</v>
      </c>
      <c r="AO42" s="3" t="s">
        <v>53</v>
      </c>
      <c r="AP42" s="3" t="s">
        <v>59</v>
      </c>
      <c r="AQ42" s="3">
        <v>42.39</v>
      </c>
      <c r="AR42" s="3" t="s">
        <v>53</v>
      </c>
      <c r="AS42" s="3" t="s">
        <v>60</v>
      </c>
      <c r="AT42" s="3">
        <v>8.22</v>
      </c>
    </row>
    <row r="43" s="3" customFormat="1" ht="15" customHeight="1" spans="1:46">
      <c r="A43" s="60">
        <v>18</v>
      </c>
      <c r="B43" s="61" t="s">
        <v>107</v>
      </c>
      <c r="C43" s="61" t="s">
        <v>108</v>
      </c>
      <c r="D43" s="61" t="s">
        <v>67</v>
      </c>
      <c r="E43" s="62">
        <v>31073</v>
      </c>
      <c r="F43" s="61" t="s">
        <v>109</v>
      </c>
      <c r="G43" s="61" t="s">
        <v>53</v>
      </c>
      <c r="H43" s="63" t="s">
        <v>54</v>
      </c>
      <c r="I43" s="64" t="s">
        <v>53</v>
      </c>
      <c r="J43" s="63" t="s">
        <v>56</v>
      </c>
      <c r="K43" s="65" t="s">
        <v>57</v>
      </c>
      <c r="L43" s="66">
        <v>1235.83</v>
      </c>
      <c r="M43" s="67" t="s">
        <v>53</v>
      </c>
      <c r="N43" s="67" t="s">
        <v>59</v>
      </c>
      <c r="O43" s="67">
        <v>42.39</v>
      </c>
      <c r="P43" s="68" t="s">
        <v>53</v>
      </c>
      <c r="Q43" s="67" t="s">
        <v>60</v>
      </c>
      <c r="R43" s="67">
        <v>8.22</v>
      </c>
      <c r="S43" s="69" t="s">
        <v>61</v>
      </c>
      <c r="T43" s="69">
        <v>250000</v>
      </c>
      <c r="U43" s="69"/>
      <c r="V43" s="69" t="s">
        <v>62</v>
      </c>
      <c r="W43" s="69">
        <v>7403.15</v>
      </c>
      <c r="X43" s="69"/>
      <c r="Y43" s="69" t="s">
        <v>63</v>
      </c>
      <c r="Z43" s="69">
        <v>1538</v>
      </c>
      <c r="AA43" s="69"/>
      <c r="AB43" s="70"/>
      <c r="AC43" s="69" t="s">
        <v>110</v>
      </c>
      <c r="AD43" s="69"/>
      <c r="AE43" s="71">
        <v>137914</v>
      </c>
      <c r="AF43" s="69"/>
      <c r="AG43" s="3" t="str">
        <f>B43&amp;C43</f>
        <v>AlanAviles</v>
      </c>
      <c r="AH43" s="3" t="str">
        <f>VLOOKUP($AG43,[1]Sheet8!$B:$G,1,0)</f>
        <v>ALANAVILES</v>
      </c>
      <c r="AI43" s="3" t="str">
        <f>VLOOKUP($AG43,[1]Sheet8!$B:$G,4,0)</f>
        <v>EE</v>
      </c>
      <c r="AJ43" s="3" t="str">
        <f>VLOOKUP($AG43,[1]Sheet8!$B:$G,5,0)</f>
        <v>L093530003</v>
      </c>
      <c r="AK43" s="3">
        <f>VLOOKUP($AG43,[1]Sheet8!$B:$G,6,0)</f>
        <v>8.22</v>
      </c>
      <c r="AL43" s="3" t="s">
        <v>53</v>
      </c>
      <c r="AM43" s="3" t="s">
        <v>57</v>
      </c>
      <c r="AN43" s="3">
        <v>1235.83</v>
      </c>
      <c r="AO43" s="3" t="s">
        <v>53</v>
      </c>
      <c r="AP43" s="3" t="s">
        <v>59</v>
      </c>
      <c r="AQ43" s="3">
        <v>42.39</v>
      </c>
      <c r="AR43" s="3" t="s">
        <v>53</v>
      </c>
      <c r="AS43" s="3" t="s">
        <v>60</v>
      </c>
      <c r="AT43" s="3">
        <v>8.22</v>
      </c>
    </row>
    <row r="44" s="3" customFormat="1" ht="15" customHeight="1" spans="1:46">
      <c r="A44" s="60">
        <v>19</v>
      </c>
      <c r="B44" s="61" t="s">
        <v>111</v>
      </c>
      <c r="C44" s="61" t="s">
        <v>112</v>
      </c>
      <c r="D44" s="61" t="s">
        <v>52</v>
      </c>
      <c r="E44" s="62">
        <v>29116</v>
      </c>
      <c r="F44" s="61">
        <v>27516</v>
      </c>
      <c r="G44" s="61" t="s">
        <v>53</v>
      </c>
      <c r="H44" s="63" t="s">
        <v>54</v>
      </c>
      <c r="I44" s="64" t="s">
        <v>55</v>
      </c>
      <c r="J44" s="63" t="s">
        <v>56</v>
      </c>
      <c r="K44" s="65" t="s">
        <v>57</v>
      </c>
      <c r="L44" s="66">
        <v>2224.48</v>
      </c>
      <c r="M44" s="67" t="s">
        <v>58</v>
      </c>
      <c r="N44" s="67" t="s">
        <v>59</v>
      </c>
      <c r="O44" s="67">
        <v>147.1</v>
      </c>
      <c r="P44" s="68" t="s">
        <v>58</v>
      </c>
      <c r="Q44" s="67" t="s">
        <v>60</v>
      </c>
      <c r="R44" s="67">
        <v>23</v>
      </c>
      <c r="S44" s="69" t="s">
        <v>61</v>
      </c>
      <c r="T44" s="69">
        <v>250000</v>
      </c>
      <c r="U44" s="69"/>
      <c r="V44" s="69" t="s">
        <v>62</v>
      </c>
      <c r="W44" s="69">
        <v>10000</v>
      </c>
      <c r="X44" s="69"/>
      <c r="Y44" s="69" t="s">
        <v>63</v>
      </c>
      <c r="Z44" s="69">
        <v>2000</v>
      </c>
      <c r="AA44" s="69"/>
      <c r="AB44" s="70"/>
      <c r="AC44" s="69" t="s">
        <v>113</v>
      </c>
      <c r="AD44" s="69"/>
      <c r="AE44" s="71">
        <v>230968</v>
      </c>
      <c r="AF44" s="69"/>
      <c r="AG44" s="3" t="str">
        <f>B44&amp;C44</f>
        <v>DeliaBailey</v>
      </c>
      <c r="AH44" s="3" t="str">
        <f>VLOOKUP($AG44,[1]Sheet8!$B:$G,1,0)</f>
        <v>DELIABAILEY</v>
      </c>
      <c r="AI44" s="3" t="str">
        <f>VLOOKUP($AG44,[1]Sheet8!$B:$G,4,0)</f>
        <v>FAM</v>
      </c>
      <c r="AJ44" s="3" t="str">
        <f>VLOOKUP($AG44,[1]Sheet8!$B:$G,5,0)</f>
        <v>L093530003</v>
      </c>
      <c r="AK44" s="3">
        <f>VLOOKUP($AG44,[1]Sheet8!$B:$G,6,0)</f>
        <v>23</v>
      </c>
      <c r="AL44" s="3" t="s">
        <v>55</v>
      </c>
      <c r="AM44" s="3" t="s">
        <v>57</v>
      </c>
      <c r="AN44" s="3">
        <v>2224.48</v>
      </c>
      <c r="AO44" s="3" t="s">
        <v>58</v>
      </c>
      <c r="AP44" s="3" t="s">
        <v>59</v>
      </c>
      <c r="AQ44" s="3">
        <v>147.1</v>
      </c>
      <c r="AR44" s="3" t="s">
        <v>58</v>
      </c>
      <c r="AS44" s="3" t="s">
        <v>60</v>
      </c>
      <c r="AT44" s="3">
        <v>23</v>
      </c>
    </row>
    <row r="45" s="3" customFormat="1" ht="15" customHeight="1" spans="1:46">
      <c r="A45" s="60">
        <v>20</v>
      </c>
      <c r="B45" s="61" t="s">
        <v>114</v>
      </c>
      <c r="C45" s="61" t="s">
        <v>112</v>
      </c>
      <c r="D45" s="61" t="s">
        <v>52</v>
      </c>
      <c r="E45" s="62">
        <v>42066</v>
      </c>
      <c r="F45" s="61">
        <v>27516</v>
      </c>
      <c r="G45" s="61" t="s">
        <v>68</v>
      </c>
      <c r="H45" s="63">
        <v>19</v>
      </c>
      <c r="I45" s="64" t="s">
        <v>55</v>
      </c>
      <c r="J45" s="63" t="s">
        <v>56</v>
      </c>
      <c r="K45" s="65"/>
      <c r="L45" s="66"/>
      <c r="M45" s="67"/>
      <c r="N45" s="67"/>
      <c r="O45" s="67"/>
      <c r="P45" s="68"/>
      <c r="Q45" s="67"/>
      <c r="R45" s="67"/>
      <c r="S45" s="69"/>
      <c r="T45" s="69"/>
      <c r="U45" s="69"/>
      <c r="V45" s="69"/>
      <c r="W45" s="69"/>
      <c r="X45" s="69"/>
      <c r="Y45" s="69"/>
      <c r="Z45" s="69"/>
      <c r="AA45" s="69"/>
      <c r="AB45" s="70"/>
      <c r="AC45" s="69"/>
      <c r="AD45" s="69"/>
      <c r="AE45" s="71"/>
      <c r="AF45" s="69"/>
    </row>
    <row r="46" s="3" customFormat="1" ht="15" customHeight="1" spans="1:46">
      <c r="A46" s="60">
        <v>21</v>
      </c>
      <c r="B46" s="61" t="s">
        <v>115</v>
      </c>
      <c r="C46" s="61" t="s">
        <v>112</v>
      </c>
      <c r="D46" s="61" t="s">
        <v>67</v>
      </c>
      <c r="E46" s="62">
        <v>42752</v>
      </c>
      <c r="F46" s="61">
        <v>27516</v>
      </c>
      <c r="G46" s="61" t="s">
        <v>68</v>
      </c>
      <c r="H46" s="63">
        <v>19</v>
      </c>
      <c r="I46" s="64" t="s">
        <v>55</v>
      </c>
      <c r="J46" s="63" t="s">
        <v>56</v>
      </c>
      <c r="K46" s="65"/>
      <c r="L46" s="66"/>
      <c r="M46" s="67"/>
      <c r="N46" s="67"/>
      <c r="O46" s="67"/>
      <c r="P46" s="68"/>
      <c r="Q46" s="67"/>
      <c r="R46" s="67"/>
      <c r="S46" s="69"/>
      <c r="T46" s="69"/>
      <c r="U46" s="69"/>
      <c r="V46" s="69"/>
      <c r="W46" s="69"/>
      <c r="X46" s="69"/>
      <c r="Y46" s="69"/>
      <c r="Z46" s="69"/>
      <c r="AA46" s="69"/>
      <c r="AB46" s="70"/>
      <c r="AC46" s="69"/>
      <c r="AD46" s="69"/>
      <c r="AE46" s="71"/>
      <c r="AF46" s="69"/>
    </row>
    <row r="47" s="3" customFormat="1" ht="15" customHeight="1" spans="1:46">
      <c r="A47" s="60">
        <v>22</v>
      </c>
      <c r="B47" s="61" t="s">
        <v>116</v>
      </c>
      <c r="C47" s="61" t="s">
        <v>112</v>
      </c>
      <c r="D47" s="61" t="s">
        <v>52</v>
      </c>
      <c r="E47" s="62">
        <v>32861</v>
      </c>
      <c r="F47" s="61">
        <v>98103</v>
      </c>
      <c r="G47" s="61" t="s">
        <v>53</v>
      </c>
      <c r="H47" s="63" t="s">
        <v>54</v>
      </c>
      <c r="I47" s="64" t="s">
        <v>53</v>
      </c>
      <c r="J47" s="63" t="s">
        <v>56</v>
      </c>
      <c r="K47" s="65" t="s">
        <v>57</v>
      </c>
      <c r="L47" s="66">
        <v>1235.83</v>
      </c>
      <c r="M47" s="67" t="s">
        <v>53</v>
      </c>
      <c r="N47" s="67" t="s">
        <v>59</v>
      </c>
      <c r="O47" s="67">
        <v>42.39</v>
      </c>
      <c r="P47" s="68" t="s">
        <v>53</v>
      </c>
      <c r="Q47" s="67" t="s">
        <v>60</v>
      </c>
      <c r="R47" s="67">
        <v>8.22</v>
      </c>
      <c r="S47" s="69" t="s">
        <v>61</v>
      </c>
      <c r="T47" s="69">
        <v>250000</v>
      </c>
      <c r="U47" s="69"/>
      <c r="V47" s="69" t="s">
        <v>62</v>
      </c>
      <c r="W47" s="69">
        <v>7779.61</v>
      </c>
      <c r="X47" s="69"/>
      <c r="Y47" s="69" t="s">
        <v>63</v>
      </c>
      <c r="Z47" s="69">
        <v>1616</v>
      </c>
      <c r="AA47" s="69"/>
      <c r="AB47" s="70"/>
      <c r="AC47" s="69" t="s">
        <v>98</v>
      </c>
      <c r="AD47" s="69"/>
      <c r="AE47" s="71">
        <v>144227</v>
      </c>
      <c r="AF47" s="69"/>
      <c r="AG47" s="3" t="str">
        <f>B47&amp;C47</f>
        <v>AustinBailey</v>
      </c>
      <c r="AH47" s="3" t="str">
        <f>VLOOKUP($AG47,[1]Sheet8!$B:$G,1,0)</f>
        <v>AUSTINBAILEY</v>
      </c>
      <c r="AI47" s="3" t="str">
        <f>VLOOKUP($AG47,[1]Sheet8!$B:$G,4,0)</f>
        <v>EE</v>
      </c>
      <c r="AJ47" s="3" t="str">
        <f>VLOOKUP($AG47,[1]Sheet8!$B:$G,5,0)</f>
        <v>L093530003</v>
      </c>
      <c r="AK47" s="3">
        <f>VLOOKUP($AG47,[1]Sheet8!$B:$G,6,0)</f>
        <v>8.22</v>
      </c>
      <c r="AL47" s="3" t="s">
        <v>53</v>
      </c>
      <c r="AM47" s="3" t="s">
        <v>57</v>
      </c>
      <c r="AN47" s="3">
        <v>1235.83</v>
      </c>
      <c r="AO47" s="3" t="s">
        <v>53</v>
      </c>
      <c r="AP47" s="3" t="s">
        <v>59</v>
      </c>
      <c r="AQ47" s="3">
        <v>42.39</v>
      </c>
      <c r="AR47" s="3" t="s">
        <v>53</v>
      </c>
      <c r="AS47" s="3" t="s">
        <v>60</v>
      </c>
      <c r="AT47" s="3">
        <v>8.22</v>
      </c>
    </row>
    <row r="48" s="3" customFormat="1" ht="15" customHeight="1" spans="1:46">
      <c r="A48" s="60">
        <v>23</v>
      </c>
      <c r="B48" s="61" t="s">
        <v>117</v>
      </c>
      <c r="C48" s="61" t="s">
        <v>118</v>
      </c>
      <c r="D48" s="61" t="s">
        <v>52</v>
      </c>
      <c r="E48" s="62">
        <v>35139</v>
      </c>
      <c r="F48" s="61">
        <v>78701</v>
      </c>
      <c r="G48" s="61" t="s">
        <v>53</v>
      </c>
      <c r="H48" s="63" t="s">
        <v>54</v>
      </c>
      <c r="I48" s="64" t="s">
        <v>119</v>
      </c>
      <c r="J48" s="63" t="s">
        <v>56</v>
      </c>
      <c r="K48" s="65"/>
      <c r="L48" s="66"/>
      <c r="M48" s="67"/>
      <c r="N48" s="67"/>
      <c r="O48" s="67"/>
      <c r="P48" s="68"/>
      <c r="Q48" s="67"/>
      <c r="R48" s="67"/>
      <c r="S48" s="69" t="s">
        <v>61</v>
      </c>
      <c r="T48" s="69">
        <v>121000</v>
      </c>
      <c r="U48" s="69"/>
      <c r="V48" s="69" t="s">
        <v>62</v>
      </c>
      <c r="W48" s="69">
        <v>3361.28</v>
      </c>
      <c r="X48" s="69"/>
      <c r="Y48" s="69" t="s">
        <v>63</v>
      </c>
      <c r="Z48" s="69">
        <v>698</v>
      </c>
      <c r="AA48" s="69"/>
      <c r="AB48" s="70"/>
      <c r="AC48" s="69" t="s">
        <v>120</v>
      </c>
      <c r="AD48" s="69"/>
      <c r="AE48" s="71">
        <v>62618</v>
      </c>
      <c r="AF48" s="69"/>
      <c r="AG48" s="3" t="str">
        <f>B48&amp;C48</f>
        <v>ElisaBallesteros</v>
      </c>
      <c r="AH48" s="3" t="e">
        <f>VLOOKUP($AG48,[1]Sheet8!$B:$G,1,0)</f>
        <v>#N/A</v>
      </c>
      <c r="AI48" s="3" t="e">
        <f>VLOOKUP($AG48,[1]Sheet8!$B:$G,4,0)</f>
        <v>#N/A</v>
      </c>
      <c r="AJ48" s="3" t="e">
        <f>VLOOKUP($AG48,[1]Sheet8!$B:$G,5,0)</f>
        <v>#N/A</v>
      </c>
      <c r="AK48" s="3" t="e">
        <f>VLOOKUP($AG48,[1]Sheet8!$B:$G,6,0)</f>
        <v>#N/A</v>
      </c>
    </row>
    <row r="49" s="3" customFormat="1" ht="15" customHeight="1" spans="1:46">
      <c r="A49" s="60">
        <v>24</v>
      </c>
      <c r="B49" s="61" t="s">
        <v>121</v>
      </c>
      <c r="C49" s="61" t="s">
        <v>122</v>
      </c>
      <c r="D49" s="61" t="s">
        <v>67</v>
      </c>
      <c r="E49" s="62">
        <v>27974</v>
      </c>
      <c r="F49" s="61">
        <v>60514</v>
      </c>
      <c r="G49" s="61" t="s">
        <v>53</v>
      </c>
      <c r="H49" s="63" t="s">
        <v>54</v>
      </c>
      <c r="I49" s="64" t="s">
        <v>81</v>
      </c>
      <c r="J49" s="63" t="s">
        <v>56</v>
      </c>
      <c r="K49" s="65" t="s">
        <v>57</v>
      </c>
      <c r="L49" s="66">
        <v>2718.81</v>
      </c>
      <c r="M49" s="67" t="s">
        <v>81</v>
      </c>
      <c r="N49" s="67" t="s">
        <v>59</v>
      </c>
      <c r="O49" s="67">
        <v>84.72</v>
      </c>
      <c r="P49" s="68" t="s">
        <v>53</v>
      </c>
      <c r="Q49" s="67" t="s">
        <v>60</v>
      </c>
      <c r="R49" s="67">
        <v>8.22</v>
      </c>
      <c r="S49" s="69" t="s">
        <v>61</v>
      </c>
      <c r="T49" s="69">
        <v>250000</v>
      </c>
      <c r="U49" s="69"/>
      <c r="V49" s="69" t="s">
        <v>62</v>
      </c>
      <c r="W49" s="69">
        <v>10000</v>
      </c>
      <c r="X49" s="69"/>
      <c r="Y49" s="69" t="s">
        <v>63</v>
      </c>
      <c r="Z49" s="69">
        <v>2000</v>
      </c>
      <c r="AA49" s="69"/>
      <c r="AB49" s="70"/>
      <c r="AC49" s="69" t="s">
        <v>123</v>
      </c>
      <c r="AD49" s="69"/>
      <c r="AE49" s="71">
        <v>199877</v>
      </c>
      <c r="AF49" s="69"/>
      <c r="AG49" s="3" t="str">
        <f>B49&amp;C49</f>
        <v>KentonBarello</v>
      </c>
      <c r="AH49" s="3" t="str">
        <f>VLOOKUP($AG49,[1]Sheet8!$B:$G,1,0)</f>
        <v>KENTONBARELLO</v>
      </c>
      <c r="AI49" s="3" t="str">
        <f>VLOOKUP($AG49,[1]Sheet8!$B:$G,4,0)</f>
        <v>EE</v>
      </c>
      <c r="AJ49" s="3" t="str">
        <f>VLOOKUP($AG49,[1]Sheet8!$B:$G,5,0)</f>
        <v>L093530003</v>
      </c>
      <c r="AK49" s="3">
        <f>VLOOKUP($AG49,[1]Sheet8!$B:$G,6,0)</f>
        <v>8.22</v>
      </c>
      <c r="AL49" s="3" t="s">
        <v>81</v>
      </c>
      <c r="AM49" s="3" t="s">
        <v>57</v>
      </c>
      <c r="AN49" s="3">
        <v>2718.81</v>
      </c>
      <c r="AO49" s="3" t="s">
        <v>81</v>
      </c>
      <c r="AP49" s="3" t="s">
        <v>59</v>
      </c>
      <c r="AQ49" s="3">
        <v>84.72</v>
      </c>
      <c r="AR49" s="3" t="s">
        <v>53</v>
      </c>
      <c r="AS49" s="3" t="s">
        <v>60</v>
      </c>
      <c r="AT49" s="3">
        <v>8.22</v>
      </c>
    </row>
    <row r="50" s="3" customFormat="1" ht="15" customHeight="1" spans="1:46">
      <c r="A50" s="60">
        <v>25</v>
      </c>
      <c r="B50" s="61" t="s">
        <v>124</v>
      </c>
      <c r="C50" s="61" t="s">
        <v>125</v>
      </c>
      <c r="D50" s="61" t="s">
        <v>52</v>
      </c>
      <c r="E50" s="62">
        <v>31350</v>
      </c>
      <c r="F50" s="61">
        <v>60514</v>
      </c>
      <c r="G50" s="61" t="s">
        <v>85</v>
      </c>
      <c r="H50" s="63">
        <v>24</v>
      </c>
      <c r="I50" s="64" t="s">
        <v>81</v>
      </c>
      <c r="J50" s="63" t="s">
        <v>56</v>
      </c>
      <c r="K50" s="65"/>
      <c r="L50" s="66"/>
      <c r="M50" s="67"/>
      <c r="N50" s="67"/>
      <c r="O50" s="67"/>
      <c r="P50" s="68"/>
      <c r="Q50" s="67"/>
      <c r="R50" s="67"/>
      <c r="S50" s="69"/>
      <c r="T50" s="69"/>
      <c r="U50" s="69"/>
      <c r="V50" s="69"/>
      <c r="W50" s="69"/>
      <c r="X50" s="69"/>
      <c r="Y50" s="69"/>
      <c r="Z50" s="69"/>
      <c r="AA50" s="69"/>
      <c r="AB50" s="70"/>
      <c r="AC50" s="69"/>
      <c r="AD50" s="69"/>
      <c r="AE50" s="71"/>
      <c r="AF50" s="69"/>
    </row>
    <row r="51" s="3" customFormat="1" ht="15" customHeight="1" spans="1:46">
      <c r="A51" s="60">
        <v>26</v>
      </c>
      <c r="B51" s="61" t="s">
        <v>126</v>
      </c>
      <c r="C51" s="61" t="s">
        <v>127</v>
      </c>
      <c r="D51" s="61" t="s">
        <v>67</v>
      </c>
      <c r="E51" s="62">
        <v>33277</v>
      </c>
      <c r="F51" s="61" t="s">
        <v>128</v>
      </c>
      <c r="G51" s="61" t="s">
        <v>53</v>
      </c>
      <c r="H51" s="63" t="s">
        <v>54</v>
      </c>
      <c r="I51" s="64" t="s">
        <v>58</v>
      </c>
      <c r="J51" s="63" t="s">
        <v>56</v>
      </c>
      <c r="K51" s="65" t="s">
        <v>82</v>
      </c>
      <c r="L51" s="66">
        <v>2423.56</v>
      </c>
      <c r="M51" s="67" t="s">
        <v>58</v>
      </c>
      <c r="N51" s="67" t="s">
        <v>59</v>
      </c>
      <c r="O51" s="67">
        <v>147.1</v>
      </c>
      <c r="P51" s="68"/>
      <c r="Q51" s="67"/>
      <c r="R51" s="67"/>
      <c r="S51" s="69" t="s">
        <v>61</v>
      </c>
      <c r="T51" s="69">
        <v>205000</v>
      </c>
      <c r="U51" s="69"/>
      <c r="V51" s="69" t="s">
        <v>62</v>
      </c>
      <c r="W51" s="69">
        <v>5688.17</v>
      </c>
      <c r="X51" s="69"/>
      <c r="Y51" s="69" t="s">
        <v>63</v>
      </c>
      <c r="Z51" s="69">
        <v>1181</v>
      </c>
      <c r="AA51" s="69"/>
      <c r="AB51" s="70"/>
      <c r="AC51" s="69" t="s">
        <v>129</v>
      </c>
      <c r="AD51" s="69"/>
      <c r="AE51" s="71">
        <v>105965</v>
      </c>
      <c r="AF51" s="69"/>
      <c r="AG51" s="3" t="str">
        <f>B51&amp;C51</f>
        <v>MichaelBarone</v>
      </c>
      <c r="AH51" s="3" t="e">
        <f>VLOOKUP($AG51,[1]Sheet8!$B:$G,1,0)</f>
        <v>#N/A</v>
      </c>
      <c r="AI51" s="3" t="e">
        <f>VLOOKUP($AG51,[1]Sheet8!$B:$G,4,0)</f>
        <v>#N/A</v>
      </c>
      <c r="AJ51" s="3" t="e">
        <f>VLOOKUP($AG51,[1]Sheet8!$B:$G,5,0)</f>
        <v>#N/A</v>
      </c>
      <c r="AK51" s="3" t="e">
        <f>VLOOKUP($AG51,[1]Sheet8!$B:$G,6,0)</f>
        <v>#N/A</v>
      </c>
      <c r="AL51" s="3" t="s">
        <v>58</v>
      </c>
      <c r="AM51" s="3" t="s">
        <v>82</v>
      </c>
      <c r="AN51" s="3">
        <v>2423.56</v>
      </c>
      <c r="AO51" s="3" t="s">
        <v>58</v>
      </c>
      <c r="AP51" s="3" t="s">
        <v>59</v>
      </c>
      <c r="AQ51" s="3">
        <v>147.1</v>
      </c>
    </row>
    <row r="52" s="3" customFormat="1" ht="15" customHeight="1" spans="1:46">
      <c r="A52" s="60">
        <v>27</v>
      </c>
      <c r="B52" s="61" t="s">
        <v>130</v>
      </c>
      <c r="C52" s="61" t="s">
        <v>127</v>
      </c>
      <c r="D52" s="61" t="s">
        <v>52</v>
      </c>
      <c r="E52" s="62">
        <v>46122</v>
      </c>
      <c r="F52" s="61" t="s">
        <v>128</v>
      </c>
      <c r="G52" s="61" t="s">
        <v>68</v>
      </c>
      <c r="H52" s="63">
        <v>26</v>
      </c>
      <c r="I52" s="64" t="s">
        <v>58</v>
      </c>
      <c r="J52" s="63" t="s">
        <v>56</v>
      </c>
      <c r="K52" s="65"/>
      <c r="L52" s="66"/>
      <c r="M52" s="67"/>
      <c r="N52" s="67"/>
      <c r="O52" s="67"/>
      <c r="P52" s="68"/>
      <c r="Q52" s="67"/>
      <c r="R52" s="67"/>
      <c r="S52" s="69"/>
      <c r="T52" s="69"/>
      <c r="U52" s="69"/>
      <c r="V52" s="69"/>
      <c r="W52" s="69"/>
      <c r="X52" s="69"/>
      <c r="Y52" s="69"/>
      <c r="Z52" s="69"/>
      <c r="AA52" s="69"/>
      <c r="AB52" s="70"/>
      <c r="AC52" s="69"/>
      <c r="AD52" s="69"/>
      <c r="AE52" s="71"/>
      <c r="AF52" s="69"/>
    </row>
    <row r="53" s="3" customFormat="1" ht="15" customHeight="1" spans="1:46">
      <c r="A53" s="60">
        <v>28</v>
      </c>
      <c r="B53" s="61" t="s">
        <v>131</v>
      </c>
      <c r="C53" s="61" t="s">
        <v>127</v>
      </c>
      <c r="D53" s="61" t="s">
        <v>52</v>
      </c>
      <c r="E53" s="62">
        <v>46122</v>
      </c>
      <c r="F53" s="61" t="s">
        <v>128</v>
      </c>
      <c r="G53" s="61" t="s">
        <v>68</v>
      </c>
      <c r="H53" s="63">
        <v>26</v>
      </c>
      <c r="I53" s="64" t="s">
        <v>58</v>
      </c>
      <c r="J53" s="63" t="s">
        <v>56</v>
      </c>
      <c r="K53" s="65"/>
      <c r="L53" s="66"/>
      <c r="M53" s="67"/>
      <c r="N53" s="67"/>
      <c r="O53" s="67"/>
      <c r="P53" s="68"/>
      <c r="Q53" s="67"/>
      <c r="R53" s="67"/>
      <c r="S53" s="69"/>
      <c r="T53" s="69"/>
      <c r="U53" s="69"/>
      <c r="V53" s="69"/>
      <c r="W53" s="69"/>
      <c r="X53" s="69"/>
      <c r="Y53" s="69"/>
      <c r="Z53" s="69"/>
      <c r="AA53" s="69"/>
      <c r="AB53" s="70"/>
      <c r="AC53" s="69"/>
      <c r="AD53" s="69"/>
      <c r="AE53" s="71"/>
      <c r="AF53" s="69"/>
    </row>
    <row r="54" s="3" customFormat="1" ht="15" customHeight="1" spans="1:46">
      <c r="A54" s="60">
        <v>29</v>
      </c>
      <c r="B54" s="61" t="s">
        <v>132</v>
      </c>
      <c r="C54" s="61" t="s">
        <v>127</v>
      </c>
      <c r="D54" s="61" t="s">
        <v>52</v>
      </c>
      <c r="E54" s="62">
        <v>34590</v>
      </c>
      <c r="F54" s="61" t="s">
        <v>128</v>
      </c>
      <c r="G54" s="61" t="s">
        <v>85</v>
      </c>
      <c r="H54" s="63">
        <v>26</v>
      </c>
      <c r="I54" s="64" t="s">
        <v>58</v>
      </c>
      <c r="J54" s="63" t="s">
        <v>56</v>
      </c>
      <c r="K54" s="65"/>
      <c r="L54" s="66"/>
      <c r="M54" s="67"/>
      <c r="N54" s="67"/>
      <c r="O54" s="67"/>
      <c r="P54" s="68"/>
      <c r="Q54" s="67"/>
      <c r="R54" s="67"/>
      <c r="S54" s="69"/>
      <c r="T54" s="69"/>
      <c r="U54" s="69"/>
      <c r="V54" s="69"/>
      <c r="W54" s="69"/>
      <c r="X54" s="69"/>
      <c r="Y54" s="69"/>
      <c r="Z54" s="69"/>
      <c r="AA54" s="69"/>
      <c r="AB54" s="70"/>
      <c r="AC54" s="69"/>
      <c r="AD54" s="69"/>
      <c r="AE54" s="71"/>
      <c r="AF54" s="69"/>
    </row>
    <row r="55" s="3" customFormat="1" ht="15" customHeight="1" spans="1:46">
      <c r="A55" s="60">
        <v>30</v>
      </c>
      <c r="B55" s="61" t="s">
        <v>133</v>
      </c>
      <c r="C55" s="61" t="s">
        <v>134</v>
      </c>
      <c r="D55" s="61" t="s">
        <v>52</v>
      </c>
      <c r="E55" s="62">
        <v>28532</v>
      </c>
      <c r="F55" s="61" t="s">
        <v>135</v>
      </c>
      <c r="G55" s="61" t="s">
        <v>53</v>
      </c>
      <c r="H55" s="63" t="s">
        <v>54</v>
      </c>
      <c r="I55" s="64" t="s">
        <v>119</v>
      </c>
      <c r="J55" s="63" t="s">
        <v>56</v>
      </c>
      <c r="K55" s="65"/>
      <c r="L55" s="66"/>
      <c r="M55" s="67"/>
      <c r="N55" s="67"/>
      <c r="O55" s="67"/>
      <c r="P55" s="68"/>
      <c r="Q55" s="67"/>
      <c r="R55" s="67"/>
      <c r="S55" s="69" t="s">
        <v>61</v>
      </c>
      <c r="T55" s="69">
        <v>250000</v>
      </c>
      <c r="U55" s="69"/>
      <c r="V55" s="69" t="s">
        <v>62</v>
      </c>
      <c r="W55" s="69">
        <v>7083.69</v>
      </c>
      <c r="X55" s="69"/>
      <c r="Y55" s="69" t="s">
        <v>63</v>
      </c>
      <c r="Z55" s="69">
        <v>1471</v>
      </c>
      <c r="AA55" s="69"/>
      <c r="AB55" s="70"/>
      <c r="AC55" s="69" t="s">
        <v>83</v>
      </c>
      <c r="AD55" s="69"/>
      <c r="AE55" s="71">
        <v>128775</v>
      </c>
      <c r="AF55" s="69"/>
      <c r="AG55" s="3" t="str">
        <f t="shared" ref="AG55:AG62" si="0">B55&amp;C55</f>
        <v>KristyBassolino</v>
      </c>
      <c r="AH55" s="3" t="e">
        <f>VLOOKUP($AG55,[1]Sheet8!$B:$G,1,0)</f>
        <v>#N/A</v>
      </c>
      <c r="AI55" s="3" t="e">
        <f>VLOOKUP($AG55,[1]Sheet8!$B:$G,4,0)</f>
        <v>#N/A</v>
      </c>
      <c r="AJ55" s="3" t="e">
        <f>VLOOKUP($AG55,[1]Sheet8!$B:$G,5,0)</f>
        <v>#N/A</v>
      </c>
      <c r="AK55" s="3" t="e">
        <f>VLOOKUP($AG55,[1]Sheet8!$B:$G,6,0)</f>
        <v>#N/A</v>
      </c>
    </row>
    <row r="56" s="3" customFormat="1" ht="15" customHeight="1" spans="1:46">
      <c r="A56" s="60">
        <v>31</v>
      </c>
      <c r="B56" s="61" t="s">
        <v>136</v>
      </c>
      <c r="C56" s="61" t="s">
        <v>137</v>
      </c>
      <c r="D56" s="61" t="s">
        <v>52</v>
      </c>
      <c r="E56" s="62">
        <v>37397</v>
      </c>
      <c r="F56" s="61">
        <v>11226</v>
      </c>
      <c r="G56" s="61" t="s">
        <v>53</v>
      </c>
      <c r="H56" s="63" t="s">
        <v>54</v>
      </c>
      <c r="I56" s="64" t="s">
        <v>119</v>
      </c>
      <c r="J56" s="63" t="s">
        <v>56</v>
      </c>
      <c r="K56" s="65"/>
      <c r="L56" s="66"/>
      <c r="M56" s="67"/>
      <c r="N56" s="67"/>
      <c r="O56" s="67"/>
      <c r="P56" s="68"/>
      <c r="Q56" s="67"/>
      <c r="R56" s="67"/>
      <c r="S56" s="69" t="s">
        <v>61</v>
      </c>
      <c r="T56" s="69">
        <v>129000</v>
      </c>
      <c r="U56" s="69"/>
      <c r="V56" s="69" t="s">
        <v>62</v>
      </c>
      <c r="W56" s="69">
        <v>3575.18</v>
      </c>
      <c r="X56" s="69"/>
      <c r="Y56" s="69" t="s">
        <v>63</v>
      </c>
      <c r="Z56" s="69">
        <v>743</v>
      </c>
      <c r="AA56" s="69"/>
      <c r="AB56" s="70"/>
      <c r="AC56" s="69" t="s">
        <v>138</v>
      </c>
      <c r="AD56" s="69"/>
      <c r="AE56" s="71">
        <v>64350</v>
      </c>
      <c r="AF56" s="69"/>
      <c r="AG56" s="3" t="str">
        <f t="shared" si="0"/>
        <v>NicoleBastian</v>
      </c>
      <c r="AH56" s="3" t="e">
        <f>VLOOKUP($AG56,[1]Sheet8!$B:$G,1,0)</f>
        <v>#N/A</v>
      </c>
      <c r="AI56" s="3" t="e">
        <f>VLOOKUP($AG56,[1]Sheet8!$B:$G,4,0)</f>
        <v>#N/A</v>
      </c>
      <c r="AJ56" s="3" t="e">
        <f>VLOOKUP($AG56,[1]Sheet8!$B:$G,5,0)</f>
        <v>#N/A</v>
      </c>
      <c r="AK56" s="3" t="e">
        <f>VLOOKUP($AG56,[1]Sheet8!$B:$G,6,0)</f>
        <v>#N/A</v>
      </c>
    </row>
    <row r="57" s="3" customFormat="1" ht="15" customHeight="1" spans="1:46">
      <c r="A57" s="60">
        <v>32</v>
      </c>
      <c r="B57" s="61" t="s">
        <v>139</v>
      </c>
      <c r="C57" s="61" t="s">
        <v>140</v>
      </c>
      <c r="D57" s="61" t="s">
        <v>67</v>
      </c>
      <c r="E57" s="62">
        <v>36660</v>
      </c>
      <c r="F57" s="61">
        <v>55122</v>
      </c>
      <c r="G57" s="61" t="s">
        <v>53</v>
      </c>
      <c r="H57" s="63" t="s">
        <v>54</v>
      </c>
      <c r="I57" s="64" t="s">
        <v>53</v>
      </c>
      <c r="J57" s="63" t="s">
        <v>56</v>
      </c>
      <c r="K57" s="65" t="s">
        <v>82</v>
      </c>
      <c r="L57" s="66">
        <v>781.79</v>
      </c>
      <c r="M57" s="67" t="s">
        <v>53</v>
      </c>
      <c r="N57" s="67" t="s">
        <v>59</v>
      </c>
      <c r="O57" s="67">
        <v>42.39</v>
      </c>
      <c r="P57" s="68" t="s">
        <v>53</v>
      </c>
      <c r="Q57" s="67" t="s">
        <v>60</v>
      </c>
      <c r="R57" s="67">
        <v>8.22</v>
      </c>
      <c r="S57" s="69" t="s">
        <v>61</v>
      </c>
      <c r="T57" s="69">
        <v>172000</v>
      </c>
      <c r="U57" s="69"/>
      <c r="V57" s="69" t="s">
        <v>62</v>
      </c>
      <c r="W57" s="69">
        <v>4760.52</v>
      </c>
      <c r="X57" s="69"/>
      <c r="Y57" s="69" t="s">
        <v>63</v>
      </c>
      <c r="Z57" s="69">
        <v>989</v>
      </c>
      <c r="AA57" s="69"/>
      <c r="AB57" s="70"/>
      <c r="AC57" s="69" t="s">
        <v>141</v>
      </c>
      <c r="AD57" s="69"/>
      <c r="AE57" s="71">
        <v>91426</v>
      </c>
      <c r="AF57" s="69"/>
      <c r="AG57" s="3" t="str">
        <f t="shared" si="0"/>
        <v>EthanBauer</v>
      </c>
      <c r="AH57" s="3" t="str">
        <f>VLOOKUP($AG57,[1]Sheet8!$B:$G,1,0)</f>
        <v>ETHANBAUER</v>
      </c>
      <c r="AI57" s="3" t="str">
        <f>VLOOKUP($AG57,[1]Sheet8!$B:$G,4,0)</f>
        <v>EE</v>
      </c>
      <c r="AJ57" s="3" t="str">
        <f>VLOOKUP($AG57,[1]Sheet8!$B:$G,5,0)</f>
        <v>L093530003</v>
      </c>
      <c r="AK57" s="3">
        <f>VLOOKUP($AG57,[1]Sheet8!$B:$G,6,0)</f>
        <v>8.22</v>
      </c>
      <c r="AL57" s="3" t="s">
        <v>53</v>
      </c>
      <c r="AM57" s="3" t="s">
        <v>82</v>
      </c>
      <c r="AN57" s="3">
        <v>781.79</v>
      </c>
      <c r="AO57" s="3" t="s">
        <v>53</v>
      </c>
      <c r="AP57" s="3" t="s">
        <v>59</v>
      </c>
      <c r="AQ57" s="3">
        <v>42.39</v>
      </c>
      <c r="AR57" s="3" t="s">
        <v>53</v>
      </c>
      <c r="AS57" s="3" t="s">
        <v>60</v>
      </c>
      <c r="AT57" s="3">
        <v>8.22</v>
      </c>
    </row>
    <row r="58" s="3" customFormat="1" ht="15" customHeight="1" spans="1:46">
      <c r="A58" s="60">
        <v>33</v>
      </c>
      <c r="B58" s="61" t="s">
        <v>142</v>
      </c>
      <c r="C58" s="61" t="s">
        <v>143</v>
      </c>
      <c r="D58" s="61" t="s">
        <v>52</v>
      </c>
      <c r="E58" s="62">
        <v>34469</v>
      </c>
      <c r="F58" s="61">
        <v>60189</v>
      </c>
      <c r="G58" s="61" t="s">
        <v>53</v>
      </c>
      <c r="H58" s="63" t="s">
        <v>54</v>
      </c>
      <c r="I58" s="64" t="s">
        <v>53</v>
      </c>
      <c r="J58" s="63" t="s">
        <v>56</v>
      </c>
      <c r="K58" s="65" t="s">
        <v>57</v>
      </c>
      <c r="L58" s="66">
        <v>1235.83</v>
      </c>
      <c r="M58" s="67" t="s">
        <v>53</v>
      </c>
      <c r="N58" s="67" t="s">
        <v>59</v>
      </c>
      <c r="O58" s="67">
        <v>42.39</v>
      </c>
      <c r="P58" s="68" t="s">
        <v>53</v>
      </c>
      <c r="Q58" s="67" t="s">
        <v>60</v>
      </c>
      <c r="R58" s="67">
        <v>8.22</v>
      </c>
      <c r="S58" s="69" t="s">
        <v>61</v>
      </c>
      <c r="T58" s="69">
        <v>185000</v>
      </c>
      <c r="U58" s="69"/>
      <c r="V58" s="69" t="s">
        <v>62</v>
      </c>
      <c r="W58" s="69">
        <v>5135.26</v>
      </c>
      <c r="X58" s="69"/>
      <c r="Y58" s="69" t="s">
        <v>63</v>
      </c>
      <c r="Z58" s="69">
        <v>1067</v>
      </c>
      <c r="AA58" s="69"/>
      <c r="AB58" s="70"/>
      <c r="AC58" s="69" t="s">
        <v>144</v>
      </c>
      <c r="AD58" s="69"/>
      <c r="AE58" s="71">
        <v>92430</v>
      </c>
      <c r="AF58" s="69"/>
      <c r="AG58" s="3" t="str">
        <f t="shared" si="0"/>
        <v>MorganBeagle</v>
      </c>
      <c r="AH58" s="3" t="str">
        <f>VLOOKUP($AG58,[1]Sheet8!$B:$G,1,0)</f>
        <v>MORGANBEAGLE</v>
      </c>
      <c r="AI58" s="3" t="str">
        <f>VLOOKUP($AG58,[1]Sheet8!$B:$G,4,0)</f>
        <v>EE</v>
      </c>
      <c r="AJ58" s="3" t="str">
        <f>VLOOKUP($AG58,[1]Sheet8!$B:$G,5,0)</f>
        <v>L093530003</v>
      </c>
      <c r="AK58" s="3">
        <f>VLOOKUP($AG58,[1]Sheet8!$B:$G,6,0)</f>
        <v>8.22</v>
      </c>
      <c r="AL58" s="3" t="s">
        <v>53</v>
      </c>
      <c r="AM58" s="3" t="s">
        <v>57</v>
      </c>
      <c r="AN58" s="3">
        <v>1235.83</v>
      </c>
      <c r="AO58" s="3" t="s">
        <v>53</v>
      </c>
      <c r="AP58" s="3" t="s">
        <v>59</v>
      </c>
      <c r="AQ58" s="3">
        <v>42.39</v>
      </c>
      <c r="AR58" s="3" t="s">
        <v>53</v>
      </c>
      <c r="AS58" s="3" t="s">
        <v>60</v>
      </c>
      <c r="AT58" s="3">
        <v>8.22</v>
      </c>
    </row>
    <row r="59" s="3" customFormat="1" ht="15" customHeight="1" spans="1:46">
      <c r="A59" s="60">
        <v>34</v>
      </c>
      <c r="B59" s="61" t="s">
        <v>114</v>
      </c>
      <c r="C59" s="61" t="s">
        <v>145</v>
      </c>
      <c r="D59" s="61" t="s">
        <v>52</v>
      </c>
      <c r="E59" s="62">
        <v>34033</v>
      </c>
      <c r="F59" s="61" t="s">
        <v>146</v>
      </c>
      <c r="G59" s="61" t="s">
        <v>53</v>
      </c>
      <c r="H59" s="63" t="s">
        <v>54</v>
      </c>
      <c r="I59" s="64" t="s">
        <v>53</v>
      </c>
      <c r="J59" s="63" t="s">
        <v>56</v>
      </c>
      <c r="K59" s="65" t="s">
        <v>82</v>
      </c>
      <c r="L59" s="66">
        <v>781.79</v>
      </c>
      <c r="M59" s="67" t="s">
        <v>53</v>
      </c>
      <c r="N59" s="67" t="s">
        <v>59</v>
      </c>
      <c r="O59" s="67">
        <v>42.39</v>
      </c>
      <c r="P59" s="68" t="s">
        <v>53</v>
      </c>
      <c r="Q59" s="67" t="s">
        <v>60</v>
      </c>
      <c r="R59" s="67">
        <v>8.22</v>
      </c>
      <c r="S59" s="69" t="s">
        <v>61</v>
      </c>
      <c r="T59" s="69">
        <v>195000</v>
      </c>
      <c r="U59" s="69"/>
      <c r="V59" s="69" t="s">
        <v>62</v>
      </c>
      <c r="W59" s="69">
        <v>5389.21</v>
      </c>
      <c r="X59" s="69"/>
      <c r="Y59" s="69" t="s">
        <v>63</v>
      </c>
      <c r="Z59" s="69">
        <v>1119</v>
      </c>
      <c r="AA59" s="69"/>
      <c r="AB59" s="70"/>
      <c r="AC59" s="69" t="s">
        <v>147</v>
      </c>
      <c r="AD59" s="69"/>
      <c r="AE59" s="71">
        <v>99911</v>
      </c>
      <c r="AF59" s="69"/>
      <c r="AG59" s="3" t="str">
        <f t="shared" si="0"/>
        <v>CharlotteBeebe</v>
      </c>
      <c r="AH59" s="3" t="str">
        <f>VLOOKUP($AG59,[1]Sheet8!$B:$G,1,0)</f>
        <v>CHARLOTTEBEEBE</v>
      </c>
      <c r="AI59" s="3" t="str">
        <f>VLOOKUP($AG59,[1]Sheet8!$B:$G,4,0)</f>
        <v>EE</v>
      </c>
      <c r="AJ59" s="3" t="str">
        <f>VLOOKUP($AG59,[1]Sheet8!$B:$G,5,0)</f>
        <v>L093530003</v>
      </c>
      <c r="AK59" s="3">
        <f>VLOOKUP($AG59,[1]Sheet8!$B:$G,6,0)</f>
        <v>8.22</v>
      </c>
      <c r="AL59" s="3" t="s">
        <v>53</v>
      </c>
      <c r="AM59" s="3" t="s">
        <v>82</v>
      </c>
      <c r="AN59" s="3">
        <v>781.79</v>
      </c>
      <c r="AO59" s="3" t="s">
        <v>53</v>
      </c>
      <c r="AP59" s="3" t="s">
        <v>59</v>
      </c>
      <c r="AQ59" s="3">
        <v>42.39</v>
      </c>
      <c r="AR59" s="3" t="s">
        <v>53</v>
      </c>
      <c r="AS59" s="3" t="s">
        <v>60</v>
      </c>
      <c r="AT59" s="3">
        <v>8.22</v>
      </c>
    </row>
    <row r="60" s="3" customFormat="1" ht="15" customHeight="1" spans="1:46">
      <c r="A60" s="60">
        <v>35</v>
      </c>
      <c r="B60" s="61" t="s">
        <v>148</v>
      </c>
      <c r="C60" s="61" t="s">
        <v>149</v>
      </c>
      <c r="D60" s="61" t="s">
        <v>52</v>
      </c>
      <c r="E60" s="62">
        <v>34803</v>
      </c>
      <c r="F60" s="61">
        <v>45385</v>
      </c>
      <c r="G60" s="61" t="s">
        <v>53</v>
      </c>
      <c r="H60" s="63" t="s">
        <v>54</v>
      </c>
      <c r="I60" s="64" t="s">
        <v>53</v>
      </c>
      <c r="J60" s="63" t="s">
        <v>56</v>
      </c>
      <c r="K60" s="65" t="s">
        <v>57</v>
      </c>
      <c r="L60" s="66">
        <v>1235.83</v>
      </c>
      <c r="M60" s="67" t="s">
        <v>53</v>
      </c>
      <c r="N60" s="67" t="s">
        <v>59</v>
      </c>
      <c r="O60" s="67">
        <v>42.39</v>
      </c>
      <c r="P60" s="68" t="s">
        <v>53</v>
      </c>
      <c r="Q60" s="67" t="s">
        <v>60</v>
      </c>
      <c r="R60" s="67">
        <v>8.22</v>
      </c>
      <c r="S60" s="69" t="s">
        <v>61</v>
      </c>
      <c r="T60" s="69">
        <v>236000</v>
      </c>
      <c r="U60" s="69"/>
      <c r="V60" s="69" t="s">
        <v>62</v>
      </c>
      <c r="W60" s="69">
        <v>6541.44</v>
      </c>
      <c r="X60" s="69"/>
      <c r="Y60" s="69" t="s">
        <v>63</v>
      </c>
      <c r="Z60" s="69">
        <v>1359</v>
      </c>
      <c r="AA60" s="69"/>
      <c r="AB60" s="70"/>
      <c r="AC60" s="69" t="s">
        <v>98</v>
      </c>
      <c r="AD60" s="69"/>
      <c r="AE60" s="71">
        <v>121272</v>
      </c>
      <c r="AF60" s="69"/>
      <c r="AG60" s="3" t="str">
        <f t="shared" si="0"/>
        <v>SusanBeecroft</v>
      </c>
      <c r="AH60" s="3" t="str">
        <f>VLOOKUP($AG60,[1]Sheet8!$B:$G,1,0)</f>
        <v>SUSANBEECROFT</v>
      </c>
      <c r="AI60" s="3" t="str">
        <f>VLOOKUP($AG60,[1]Sheet8!$B:$G,4,0)</f>
        <v>EE</v>
      </c>
      <c r="AJ60" s="3" t="str">
        <f>VLOOKUP($AG60,[1]Sheet8!$B:$G,5,0)</f>
        <v>L093530003</v>
      </c>
      <c r="AK60" s="3">
        <f>VLOOKUP($AG60,[1]Sheet8!$B:$G,6,0)</f>
        <v>8.22</v>
      </c>
      <c r="AL60" s="3" t="s">
        <v>53</v>
      </c>
      <c r="AM60" s="3" t="s">
        <v>57</v>
      </c>
      <c r="AN60" s="3">
        <v>1235.83</v>
      </c>
      <c r="AO60" s="3" t="s">
        <v>53</v>
      </c>
      <c r="AP60" s="3" t="s">
        <v>59</v>
      </c>
      <c r="AQ60" s="3">
        <v>42.39</v>
      </c>
      <c r="AR60" s="3" t="s">
        <v>53</v>
      </c>
      <c r="AS60" s="3" t="s">
        <v>60</v>
      </c>
      <c r="AT60" s="3">
        <v>8.22</v>
      </c>
    </row>
    <row r="61" s="3" customFormat="1" ht="15" customHeight="1" spans="1:46">
      <c r="A61" s="60">
        <v>36</v>
      </c>
      <c r="B61" s="61" t="s">
        <v>150</v>
      </c>
      <c r="C61" s="61" t="s">
        <v>151</v>
      </c>
      <c r="D61" s="61" t="s">
        <v>52</v>
      </c>
      <c r="E61" s="62">
        <v>34442</v>
      </c>
      <c r="F61" s="61">
        <v>80218</v>
      </c>
      <c r="G61" s="61" t="s">
        <v>53</v>
      </c>
      <c r="H61" s="63" t="s">
        <v>54</v>
      </c>
      <c r="I61" s="64" t="s">
        <v>53</v>
      </c>
      <c r="J61" s="63" t="s">
        <v>56</v>
      </c>
      <c r="K61" s="65" t="s">
        <v>82</v>
      </c>
      <c r="L61" s="66">
        <v>781.79</v>
      </c>
      <c r="M61" s="67" t="s">
        <v>53</v>
      </c>
      <c r="N61" s="67" t="s">
        <v>59</v>
      </c>
      <c r="O61" s="67">
        <v>42.39</v>
      </c>
      <c r="P61" s="68" t="s">
        <v>53</v>
      </c>
      <c r="Q61" s="67" t="s">
        <v>60</v>
      </c>
      <c r="R61" s="67">
        <v>8.22</v>
      </c>
      <c r="S61" s="69" t="s">
        <v>61</v>
      </c>
      <c r="T61" s="69">
        <v>176000</v>
      </c>
      <c r="U61" s="69"/>
      <c r="V61" s="69" t="s">
        <v>62</v>
      </c>
      <c r="W61" s="69">
        <v>4874.13</v>
      </c>
      <c r="X61" s="69"/>
      <c r="Y61" s="69" t="s">
        <v>63</v>
      </c>
      <c r="Z61" s="69">
        <v>1012</v>
      </c>
      <c r="AA61" s="69"/>
      <c r="AB61" s="70"/>
      <c r="AC61" s="69" t="s">
        <v>152</v>
      </c>
      <c r="AD61" s="69"/>
      <c r="AE61" s="71">
        <v>90361</v>
      </c>
      <c r="AF61" s="69"/>
      <c r="AG61" s="3" t="str">
        <f t="shared" si="0"/>
        <v>RachelBeidler</v>
      </c>
      <c r="AH61" s="3" t="str">
        <f>VLOOKUP($AG61,[1]Sheet8!$B:$G,1,0)</f>
        <v>RACHELBEIDLER</v>
      </c>
      <c r="AI61" s="3" t="str">
        <f>VLOOKUP($AG61,[1]Sheet8!$B:$G,4,0)</f>
        <v>EE</v>
      </c>
      <c r="AJ61" s="3" t="str">
        <f>VLOOKUP($AG61,[1]Sheet8!$B:$G,5,0)</f>
        <v>L093530003</v>
      </c>
      <c r="AK61" s="3">
        <f>VLOOKUP($AG61,[1]Sheet8!$B:$G,6,0)</f>
        <v>8.22</v>
      </c>
      <c r="AL61" s="3" t="s">
        <v>53</v>
      </c>
      <c r="AM61" s="3" t="s">
        <v>82</v>
      </c>
      <c r="AN61" s="3">
        <v>781.79</v>
      </c>
      <c r="AO61" s="3" t="s">
        <v>53</v>
      </c>
      <c r="AP61" s="3" t="s">
        <v>59</v>
      </c>
      <c r="AQ61" s="3">
        <v>42.39</v>
      </c>
      <c r="AR61" s="3" t="s">
        <v>53</v>
      </c>
      <c r="AS61" s="3" t="s">
        <v>60</v>
      </c>
      <c r="AT61" s="3">
        <v>8.22</v>
      </c>
    </row>
    <row r="62" s="3" customFormat="1" ht="15" customHeight="1" spans="1:46">
      <c r="A62" s="60">
        <v>37</v>
      </c>
      <c r="B62" s="61" t="s">
        <v>153</v>
      </c>
      <c r="C62" s="61" t="s">
        <v>154</v>
      </c>
      <c r="D62" s="61" t="s">
        <v>67</v>
      </c>
      <c r="E62" s="62">
        <v>32149</v>
      </c>
      <c r="F62" s="61">
        <v>43231</v>
      </c>
      <c r="G62" s="61" t="s">
        <v>53</v>
      </c>
      <c r="H62" s="63" t="s">
        <v>54</v>
      </c>
      <c r="I62" s="64" t="s">
        <v>81</v>
      </c>
      <c r="J62" s="63" t="s">
        <v>56</v>
      </c>
      <c r="K62" s="65" t="s">
        <v>82</v>
      </c>
      <c r="L62" s="66">
        <v>1719.95</v>
      </c>
      <c r="M62" s="67" t="s">
        <v>81</v>
      </c>
      <c r="N62" s="67" t="s">
        <v>59</v>
      </c>
      <c r="O62" s="67">
        <v>84.72</v>
      </c>
      <c r="P62" s="68" t="s">
        <v>81</v>
      </c>
      <c r="Q62" s="67" t="s">
        <v>60</v>
      </c>
      <c r="R62" s="67">
        <v>16.48</v>
      </c>
      <c r="S62" s="69" t="s">
        <v>61</v>
      </c>
      <c r="T62" s="69">
        <v>250000</v>
      </c>
      <c r="U62" s="69"/>
      <c r="V62" s="69" t="s">
        <v>62</v>
      </c>
      <c r="W62" s="69">
        <v>8379.2</v>
      </c>
      <c r="X62" s="69"/>
      <c r="Y62" s="69" t="s">
        <v>63</v>
      </c>
      <c r="Z62" s="69">
        <v>1740</v>
      </c>
      <c r="AA62" s="69"/>
      <c r="AB62" s="70"/>
      <c r="AC62" s="69" t="s">
        <v>155</v>
      </c>
      <c r="AD62" s="69"/>
      <c r="AE62" s="71">
        <v>155343</v>
      </c>
      <c r="AF62" s="69"/>
      <c r="AG62" s="3" t="str">
        <f t="shared" si="0"/>
        <v>EdwardBell</v>
      </c>
      <c r="AH62" s="3" t="str">
        <f>VLOOKUP($AG62,[1]Sheet8!$B:$G,1,0)</f>
        <v>EDWARDBELL</v>
      </c>
      <c r="AI62" s="3" t="str">
        <f>VLOOKUP($AG62,[1]Sheet8!$B:$G,4,0)</f>
        <v>ES</v>
      </c>
      <c r="AJ62" s="3" t="str">
        <f>VLOOKUP($AG62,[1]Sheet8!$B:$G,5,0)</f>
        <v>L093530003</v>
      </c>
      <c r="AK62" s="3">
        <f>VLOOKUP($AG62,[1]Sheet8!$B:$G,6,0)</f>
        <v>16.48</v>
      </c>
      <c r="AL62" s="3" t="s">
        <v>81</v>
      </c>
      <c r="AM62" s="3" t="s">
        <v>82</v>
      </c>
      <c r="AN62" s="3">
        <v>1719.95</v>
      </c>
      <c r="AO62" s="3" t="s">
        <v>81</v>
      </c>
      <c r="AP62" s="3" t="s">
        <v>59</v>
      </c>
      <c r="AQ62" s="3">
        <v>84.72</v>
      </c>
      <c r="AR62" s="3" t="s">
        <v>81</v>
      </c>
      <c r="AS62" s="3" t="s">
        <v>60</v>
      </c>
      <c r="AT62" s="3">
        <v>16.48</v>
      </c>
    </row>
    <row r="63" s="3" customFormat="1" ht="15" customHeight="1" spans="1:46">
      <c r="A63" s="60">
        <v>38</v>
      </c>
      <c r="B63" s="61" t="s">
        <v>156</v>
      </c>
      <c r="C63" s="61" t="s">
        <v>157</v>
      </c>
      <c r="D63" s="61" t="s">
        <v>67</v>
      </c>
      <c r="E63" s="62">
        <v>33844</v>
      </c>
      <c r="F63" s="61">
        <v>43231</v>
      </c>
      <c r="G63" s="61" t="s">
        <v>85</v>
      </c>
      <c r="H63" s="63">
        <v>37</v>
      </c>
      <c r="I63" s="64" t="s">
        <v>81</v>
      </c>
      <c r="J63" s="63" t="s">
        <v>56</v>
      </c>
      <c r="K63" s="65"/>
      <c r="L63" s="66"/>
      <c r="M63" s="67"/>
      <c r="N63" s="67"/>
      <c r="O63" s="67"/>
      <c r="P63" s="68"/>
      <c r="Q63" s="67"/>
      <c r="R63" s="67"/>
      <c r="S63" s="69"/>
      <c r="T63" s="69"/>
      <c r="U63" s="69"/>
      <c r="V63" s="69"/>
      <c r="W63" s="69"/>
      <c r="X63" s="69"/>
      <c r="Y63" s="69"/>
      <c r="Z63" s="69"/>
      <c r="AA63" s="69"/>
      <c r="AB63" s="70"/>
      <c r="AC63" s="69"/>
      <c r="AD63" s="69"/>
      <c r="AE63" s="71"/>
      <c r="AF63" s="69"/>
    </row>
    <row r="64" s="3" customFormat="1" ht="15" customHeight="1" spans="1:46">
      <c r="A64" s="60">
        <v>39</v>
      </c>
      <c r="B64" s="61" t="s">
        <v>158</v>
      </c>
      <c r="C64" s="61" t="s">
        <v>159</v>
      </c>
      <c r="D64" s="61" t="s">
        <v>67</v>
      </c>
      <c r="E64" s="62">
        <v>33201</v>
      </c>
      <c r="F64" s="61">
        <v>20007</v>
      </c>
      <c r="G64" s="61" t="s">
        <v>53</v>
      </c>
      <c r="H64" s="63" t="s">
        <v>54</v>
      </c>
      <c r="I64" s="64" t="s">
        <v>53</v>
      </c>
      <c r="J64" s="63" t="s">
        <v>56</v>
      </c>
      <c r="K64" s="65" t="s">
        <v>57</v>
      </c>
      <c r="L64" s="66">
        <v>1235.83</v>
      </c>
      <c r="M64" s="67" t="s">
        <v>53</v>
      </c>
      <c r="N64" s="67" t="s">
        <v>59</v>
      </c>
      <c r="O64" s="67">
        <v>42.39</v>
      </c>
      <c r="P64" s="68" t="s">
        <v>53</v>
      </c>
      <c r="Q64" s="67" t="s">
        <v>60</v>
      </c>
      <c r="R64" s="67">
        <v>8.22</v>
      </c>
      <c r="S64" s="69" t="s">
        <v>61</v>
      </c>
      <c r="T64" s="69">
        <v>250000</v>
      </c>
      <c r="U64" s="69"/>
      <c r="V64" s="69" t="s">
        <v>62</v>
      </c>
      <c r="W64" s="69">
        <v>7855.28</v>
      </c>
      <c r="X64" s="69"/>
      <c r="Y64" s="69" t="s">
        <v>63</v>
      </c>
      <c r="Z64" s="69">
        <v>1631</v>
      </c>
      <c r="AA64" s="69"/>
      <c r="AB64" s="70"/>
      <c r="AC64" s="69" t="s">
        <v>160</v>
      </c>
      <c r="AD64" s="69"/>
      <c r="AE64" s="71">
        <v>145064</v>
      </c>
      <c r="AF64" s="69"/>
      <c r="AG64" s="3" t="str">
        <f t="shared" ref="AG64:AG72" si="1">B64&amp;C64</f>
        <v>EmilBello Pardo</v>
      </c>
      <c r="AH64" s="3" t="str">
        <f>VLOOKUP($AG64,[1]Sheet8!$B:$G,1,0)</f>
        <v>EMILBELLO PARDO</v>
      </c>
      <c r="AI64" s="3" t="str">
        <f>VLOOKUP($AG64,[1]Sheet8!$B:$G,4,0)</f>
        <v>EE</v>
      </c>
      <c r="AJ64" s="3" t="str">
        <f>VLOOKUP($AG64,[1]Sheet8!$B:$G,5,0)</f>
        <v>L093530003</v>
      </c>
      <c r="AK64" s="3">
        <f>VLOOKUP($AG64,[1]Sheet8!$B:$G,6,0)</f>
        <v>8.22</v>
      </c>
      <c r="AL64" s="3" t="s">
        <v>53</v>
      </c>
      <c r="AM64" s="3" t="s">
        <v>57</v>
      </c>
      <c r="AN64" s="3">
        <v>1235.83</v>
      </c>
      <c r="AO64" s="3" t="s">
        <v>53</v>
      </c>
      <c r="AP64" s="3" t="s">
        <v>59</v>
      </c>
      <c r="AQ64" s="3">
        <v>42.39</v>
      </c>
      <c r="AR64" s="3" t="s">
        <v>53</v>
      </c>
      <c r="AS64" s="3" t="s">
        <v>60</v>
      </c>
      <c r="AT64" s="3">
        <v>8.22</v>
      </c>
    </row>
    <row r="65" s="3" customFormat="1" ht="15" customHeight="1" spans="1:46">
      <c r="A65" s="60">
        <v>40</v>
      </c>
      <c r="B65" s="61" t="s">
        <v>132</v>
      </c>
      <c r="C65" s="61" t="s">
        <v>161</v>
      </c>
      <c r="D65" s="61" t="s">
        <v>52</v>
      </c>
      <c r="E65" s="62">
        <v>30411</v>
      </c>
      <c r="F65" s="61">
        <v>94110</v>
      </c>
      <c r="G65" s="61" t="s">
        <v>53</v>
      </c>
      <c r="H65" s="63" t="s">
        <v>54</v>
      </c>
      <c r="I65" s="64" t="s">
        <v>53</v>
      </c>
      <c r="J65" s="63" t="s">
        <v>56</v>
      </c>
      <c r="K65" s="65" t="s">
        <v>57</v>
      </c>
      <c r="L65" s="66">
        <v>1235.83</v>
      </c>
      <c r="M65" s="67"/>
      <c r="N65" s="67"/>
      <c r="O65" s="67"/>
      <c r="P65" s="68"/>
      <c r="Q65" s="67"/>
      <c r="R65" s="67"/>
      <c r="S65" s="69" t="s">
        <v>61</v>
      </c>
      <c r="T65" s="69">
        <v>250000</v>
      </c>
      <c r="U65" s="69"/>
      <c r="V65" s="69" t="s">
        <v>62</v>
      </c>
      <c r="W65" s="69">
        <v>10000</v>
      </c>
      <c r="X65" s="69"/>
      <c r="Y65" s="69" t="s">
        <v>63</v>
      </c>
      <c r="Z65" s="69">
        <v>2000</v>
      </c>
      <c r="AA65" s="69"/>
      <c r="AB65" s="70"/>
      <c r="AC65" s="69" t="s">
        <v>162</v>
      </c>
      <c r="AD65" s="69"/>
      <c r="AE65" s="71">
        <v>276802</v>
      </c>
      <c r="AF65" s="69"/>
      <c r="AG65" s="3" t="str">
        <f t="shared" si="1"/>
        <v>LaurenBenditt</v>
      </c>
      <c r="AH65" s="3" t="e">
        <f>VLOOKUP($AG65,[1]Sheet8!$B:$G,1,0)</f>
        <v>#N/A</v>
      </c>
      <c r="AI65" s="3" t="e">
        <f>VLOOKUP($AG65,[1]Sheet8!$B:$G,4,0)</f>
        <v>#N/A</v>
      </c>
      <c r="AJ65" s="3" t="e">
        <f>VLOOKUP($AG65,[1]Sheet8!$B:$G,5,0)</f>
        <v>#N/A</v>
      </c>
      <c r="AK65" s="3" t="e">
        <f>VLOOKUP($AG65,[1]Sheet8!$B:$G,6,0)</f>
        <v>#N/A</v>
      </c>
      <c r="AL65" s="3" t="s">
        <v>53</v>
      </c>
      <c r="AM65" s="3" t="s">
        <v>57</v>
      </c>
      <c r="AN65" s="3">
        <v>1235.83</v>
      </c>
    </row>
    <row r="66" s="3" customFormat="1" ht="15" customHeight="1" spans="1:46">
      <c r="A66" s="60">
        <v>41</v>
      </c>
      <c r="B66" s="61" t="s">
        <v>163</v>
      </c>
      <c r="C66" s="61" t="s">
        <v>164</v>
      </c>
      <c r="D66" s="61" t="s">
        <v>52</v>
      </c>
      <c r="E66" s="62">
        <v>36043</v>
      </c>
      <c r="F66" s="61">
        <v>92627</v>
      </c>
      <c r="G66" s="61" t="s">
        <v>53</v>
      </c>
      <c r="H66" s="63" t="s">
        <v>54</v>
      </c>
      <c r="I66" s="64" t="s">
        <v>53</v>
      </c>
      <c r="J66" s="63" t="s">
        <v>56</v>
      </c>
      <c r="K66" s="65" t="s">
        <v>57</v>
      </c>
      <c r="L66" s="66">
        <v>1235.83</v>
      </c>
      <c r="M66" s="67" t="s">
        <v>53</v>
      </c>
      <c r="N66" s="67" t="s">
        <v>59</v>
      </c>
      <c r="O66" s="67">
        <v>42.39</v>
      </c>
      <c r="P66" s="68" t="s">
        <v>53</v>
      </c>
      <c r="Q66" s="67" t="s">
        <v>60</v>
      </c>
      <c r="R66" s="67">
        <v>8.22</v>
      </c>
      <c r="S66" s="69" t="s">
        <v>61</v>
      </c>
      <c r="T66" s="69">
        <v>138000</v>
      </c>
      <c r="U66" s="69"/>
      <c r="V66" s="69" t="s">
        <v>62</v>
      </c>
      <c r="W66" s="69">
        <v>3813.52</v>
      </c>
      <c r="X66" s="69"/>
      <c r="Y66" s="69" t="s">
        <v>63</v>
      </c>
      <c r="Z66" s="69">
        <v>792</v>
      </c>
      <c r="AA66" s="69"/>
      <c r="AB66" s="70"/>
      <c r="AC66" s="69" t="s">
        <v>165</v>
      </c>
      <c r="AD66" s="69"/>
      <c r="AE66" s="71">
        <v>70699</v>
      </c>
      <c r="AF66" s="69"/>
      <c r="AG66" s="3" t="str">
        <f t="shared" si="1"/>
        <v>ElizabethBetchart</v>
      </c>
      <c r="AH66" s="3" t="str">
        <f>VLOOKUP($AG66,[1]Sheet8!$B:$G,1,0)</f>
        <v>ElizabethBETCHART</v>
      </c>
      <c r="AI66" s="3" t="str">
        <f>VLOOKUP($AG66,[1]Sheet8!$B:$G,4,0)</f>
        <v>EE</v>
      </c>
      <c r="AJ66" s="3" t="str">
        <f>VLOOKUP($AG66,[1]Sheet8!$B:$G,5,0)</f>
        <v>L093530003</v>
      </c>
      <c r="AK66" s="3">
        <f>VLOOKUP($AG66,[1]Sheet8!$B:$G,6,0)</f>
        <v>8.22</v>
      </c>
      <c r="AL66" s="3" t="s">
        <v>53</v>
      </c>
      <c r="AM66" s="3" t="s">
        <v>57</v>
      </c>
      <c r="AN66" s="3">
        <v>1235.83</v>
      </c>
      <c r="AO66" s="3" t="s">
        <v>53</v>
      </c>
      <c r="AP66" s="3" t="s">
        <v>59</v>
      </c>
      <c r="AQ66" s="3">
        <v>42.39</v>
      </c>
      <c r="AR66" s="3" t="s">
        <v>53</v>
      </c>
      <c r="AS66" s="3" t="s">
        <v>60</v>
      </c>
      <c r="AT66" s="3">
        <v>8.22</v>
      </c>
    </row>
    <row r="67" s="3" customFormat="1" ht="15" customHeight="1" spans="1:46">
      <c r="A67" s="60">
        <v>42</v>
      </c>
      <c r="B67" s="61" t="s">
        <v>166</v>
      </c>
      <c r="C67" s="61" t="s">
        <v>167</v>
      </c>
      <c r="D67" s="61" t="s">
        <v>67</v>
      </c>
      <c r="E67" s="62">
        <v>29108</v>
      </c>
      <c r="F67" s="61">
        <v>11109</v>
      </c>
      <c r="G67" s="61" t="s">
        <v>53</v>
      </c>
      <c r="H67" s="63" t="s">
        <v>54</v>
      </c>
      <c r="I67" s="64" t="s">
        <v>53</v>
      </c>
      <c r="J67" s="63" t="s">
        <v>56</v>
      </c>
      <c r="K67" s="65" t="s">
        <v>57</v>
      </c>
      <c r="L67" s="66">
        <v>1235.83</v>
      </c>
      <c r="M67" s="67" t="s">
        <v>81</v>
      </c>
      <c r="N67" s="67" t="s">
        <v>59</v>
      </c>
      <c r="O67" s="67">
        <v>84.72</v>
      </c>
      <c r="P67" s="68" t="s">
        <v>53</v>
      </c>
      <c r="Q67" s="67" t="s">
        <v>60</v>
      </c>
      <c r="R67" s="67">
        <v>8.22</v>
      </c>
      <c r="S67" s="69" t="s">
        <v>61</v>
      </c>
      <c r="T67" s="69">
        <v>250000</v>
      </c>
      <c r="U67" s="69"/>
      <c r="V67" s="69" t="s">
        <v>62</v>
      </c>
      <c r="W67" s="69">
        <v>10000</v>
      </c>
      <c r="X67" s="69"/>
      <c r="Y67" s="69" t="s">
        <v>63</v>
      </c>
      <c r="Z67" s="69">
        <v>2000</v>
      </c>
      <c r="AA67" s="69"/>
      <c r="AB67" s="70"/>
      <c r="AC67" s="69" t="s">
        <v>168</v>
      </c>
      <c r="AD67" s="69"/>
      <c r="AE67" s="71">
        <v>187876</v>
      </c>
      <c r="AF67" s="69"/>
      <c r="AG67" s="3" t="str">
        <f t="shared" si="1"/>
        <v>CarlBialik</v>
      </c>
      <c r="AH67" s="3" t="str">
        <f>VLOOKUP($AG67,[1]Sheet8!$B:$G,1,0)</f>
        <v>CARLBIALIK</v>
      </c>
      <c r="AI67" s="3" t="str">
        <f>VLOOKUP($AG67,[1]Sheet8!$B:$G,4,0)</f>
        <v>EE</v>
      </c>
      <c r="AJ67" s="3" t="str">
        <f>VLOOKUP($AG67,[1]Sheet8!$B:$G,5,0)</f>
        <v>L093530003</v>
      </c>
      <c r="AK67" s="3">
        <f>VLOOKUP($AG67,[1]Sheet8!$B:$G,6,0)</f>
        <v>8.22</v>
      </c>
      <c r="AL67" s="3" t="s">
        <v>53</v>
      </c>
      <c r="AM67" s="3" t="s">
        <v>57</v>
      </c>
      <c r="AN67" s="3">
        <v>1235.83</v>
      </c>
      <c r="AO67" s="3" t="s">
        <v>81</v>
      </c>
      <c r="AP67" s="3" t="s">
        <v>59</v>
      </c>
      <c r="AQ67" s="3">
        <v>84.72</v>
      </c>
      <c r="AR67" s="3" t="s">
        <v>53</v>
      </c>
      <c r="AS67" s="3" t="s">
        <v>60</v>
      </c>
      <c r="AT67" s="3">
        <v>8.22</v>
      </c>
    </row>
    <row r="68" s="3" customFormat="1" ht="15" customHeight="1" spans="1:46">
      <c r="A68" s="60">
        <v>43</v>
      </c>
      <c r="B68" s="61" t="s">
        <v>169</v>
      </c>
      <c r="C68" s="61" t="s">
        <v>170</v>
      </c>
      <c r="D68" s="61" t="s">
        <v>52</v>
      </c>
      <c r="E68" s="62">
        <v>34534</v>
      </c>
      <c r="F68" s="61">
        <v>95348</v>
      </c>
      <c r="G68" s="61" t="s">
        <v>53</v>
      </c>
      <c r="H68" s="63" t="s">
        <v>54</v>
      </c>
      <c r="I68" s="64" t="s">
        <v>53</v>
      </c>
      <c r="J68" s="63" t="s">
        <v>56</v>
      </c>
      <c r="K68" s="65" t="s">
        <v>82</v>
      </c>
      <c r="L68" s="66">
        <v>781.79</v>
      </c>
      <c r="M68" s="67" t="s">
        <v>53</v>
      </c>
      <c r="N68" s="67" t="s">
        <v>59</v>
      </c>
      <c r="O68" s="67">
        <v>42.39</v>
      </c>
      <c r="P68" s="68" t="s">
        <v>53</v>
      </c>
      <c r="Q68" s="67" t="s">
        <v>60</v>
      </c>
      <c r="R68" s="67">
        <v>8.22</v>
      </c>
      <c r="S68" s="69" t="s">
        <v>61</v>
      </c>
      <c r="T68" s="69">
        <v>212000</v>
      </c>
      <c r="U68" s="69"/>
      <c r="V68" s="69" t="s">
        <v>62</v>
      </c>
      <c r="W68" s="69">
        <v>5866.18</v>
      </c>
      <c r="X68" s="69"/>
      <c r="Y68" s="69" t="s">
        <v>63</v>
      </c>
      <c r="Z68" s="69">
        <v>1218</v>
      </c>
      <c r="AA68" s="69"/>
      <c r="AB68" s="70"/>
      <c r="AC68" s="69" t="s">
        <v>98</v>
      </c>
      <c r="AD68" s="69"/>
      <c r="AE68" s="71">
        <v>108754</v>
      </c>
      <c r="AF68" s="69"/>
      <c r="AG68" s="3" t="str">
        <f t="shared" si="1"/>
        <v>ReaganBijou</v>
      </c>
      <c r="AH68" s="3" t="str">
        <f>VLOOKUP($AG68,[1]Sheet8!$B:$G,1,0)</f>
        <v>REAGANBIJOU</v>
      </c>
      <c r="AI68" s="3" t="str">
        <f>VLOOKUP($AG68,[1]Sheet8!$B:$G,4,0)</f>
        <v>EE</v>
      </c>
      <c r="AJ68" s="3" t="str">
        <f>VLOOKUP($AG68,[1]Sheet8!$B:$G,5,0)</f>
        <v>L093530003</v>
      </c>
      <c r="AK68" s="3">
        <f>VLOOKUP($AG68,[1]Sheet8!$B:$G,6,0)</f>
        <v>8.22</v>
      </c>
      <c r="AL68" s="3" t="s">
        <v>53</v>
      </c>
      <c r="AM68" s="3" t="s">
        <v>82</v>
      </c>
      <c r="AN68" s="3">
        <v>781.79</v>
      </c>
      <c r="AO68" s="3" t="s">
        <v>53</v>
      </c>
      <c r="AP68" s="3" t="s">
        <v>59</v>
      </c>
      <c r="AQ68" s="3">
        <v>42.39</v>
      </c>
      <c r="AR68" s="3" t="s">
        <v>53</v>
      </c>
      <c r="AS68" s="3" t="s">
        <v>60</v>
      </c>
      <c r="AT68" s="3">
        <v>8.22</v>
      </c>
    </row>
    <row r="69" s="3" customFormat="1" ht="15" customHeight="1" spans="1:46">
      <c r="A69" s="60">
        <v>44</v>
      </c>
      <c r="B69" s="61" t="s">
        <v>171</v>
      </c>
      <c r="C69" s="61" t="s">
        <v>172</v>
      </c>
      <c r="D69" s="61" t="s">
        <v>52</v>
      </c>
      <c r="E69" s="62">
        <v>34056</v>
      </c>
      <c r="F69" s="61">
        <v>55105</v>
      </c>
      <c r="G69" s="61" t="s">
        <v>53</v>
      </c>
      <c r="H69" s="63" t="s">
        <v>54</v>
      </c>
      <c r="I69" s="64" t="s">
        <v>53</v>
      </c>
      <c r="J69" s="63" t="s">
        <v>56</v>
      </c>
      <c r="K69" s="65" t="s">
        <v>57</v>
      </c>
      <c r="L69" s="66">
        <v>1235.83</v>
      </c>
      <c r="M69" s="67" t="s">
        <v>53</v>
      </c>
      <c r="N69" s="67" t="s">
        <v>59</v>
      </c>
      <c r="O69" s="67">
        <v>42.39</v>
      </c>
      <c r="P69" s="68" t="s">
        <v>53</v>
      </c>
      <c r="Q69" s="67" t="s">
        <v>60</v>
      </c>
      <c r="R69" s="67">
        <v>8.22</v>
      </c>
      <c r="S69" s="69" t="s">
        <v>61</v>
      </c>
      <c r="T69" s="69">
        <v>180000</v>
      </c>
      <c r="U69" s="69"/>
      <c r="V69" s="69" t="s">
        <v>62</v>
      </c>
      <c r="W69" s="69">
        <v>5000.25</v>
      </c>
      <c r="X69" s="69"/>
      <c r="Y69" s="69" t="s">
        <v>63</v>
      </c>
      <c r="Z69" s="69">
        <v>1038</v>
      </c>
      <c r="AA69" s="69"/>
      <c r="AB69" s="70"/>
      <c r="AC69" s="69" t="s">
        <v>173</v>
      </c>
      <c r="AD69" s="69"/>
      <c r="AE69" s="71">
        <v>92700</v>
      </c>
      <c r="AF69" s="69"/>
      <c r="AG69" s="3" t="str">
        <f t="shared" si="1"/>
        <v>ChapinBlanchard</v>
      </c>
      <c r="AH69" s="3" t="str">
        <f>VLOOKUP($AG69,[1]Sheet8!$B:$G,1,0)</f>
        <v>CHAPINBLANCHARD</v>
      </c>
      <c r="AI69" s="3" t="str">
        <f>VLOOKUP($AG69,[1]Sheet8!$B:$G,4,0)</f>
        <v>EE</v>
      </c>
      <c r="AJ69" s="3" t="str">
        <f>VLOOKUP($AG69,[1]Sheet8!$B:$G,5,0)</f>
        <v>L093530003</v>
      </c>
      <c r="AK69" s="3">
        <f>VLOOKUP($AG69,[1]Sheet8!$B:$G,6,0)</f>
        <v>8.22</v>
      </c>
      <c r="AL69" s="3" t="s">
        <v>53</v>
      </c>
      <c r="AM69" s="3" t="s">
        <v>57</v>
      </c>
      <c r="AN69" s="3">
        <v>1235.83</v>
      </c>
      <c r="AO69" s="3" t="s">
        <v>53</v>
      </c>
      <c r="AP69" s="3" t="s">
        <v>59</v>
      </c>
      <c r="AQ69" s="3">
        <v>42.39</v>
      </c>
      <c r="AR69" s="3" t="s">
        <v>53</v>
      </c>
      <c r="AS69" s="3" t="s">
        <v>60</v>
      </c>
      <c r="AT69" s="3">
        <v>8.22</v>
      </c>
    </row>
    <row r="70" s="3" customFormat="1" ht="15" customHeight="1" spans="1:46">
      <c r="A70" s="60">
        <v>45</v>
      </c>
      <c r="B70" s="61" t="s">
        <v>126</v>
      </c>
      <c r="C70" s="61" t="s">
        <v>174</v>
      </c>
      <c r="D70" s="61" t="s">
        <v>67</v>
      </c>
      <c r="E70" s="62">
        <v>31072</v>
      </c>
      <c r="F70" s="61">
        <v>83201</v>
      </c>
      <c r="G70" s="61" t="s">
        <v>53</v>
      </c>
      <c r="H70" s="63" t="s">
        <v>54</v>
      </c>
      <c r="I70" s="64" t="s">
        <v>53</v>
      </c>
      <c r="J70" s="63" t="s">
        <v>56</v>
      </c>
      <c r="K70" s="65" t="s">
        <v>82</v>
      </c>
      <c r="L70" s="66">
        <v>781.79</v>
      </c>
      <c r="M70" s="67" t="s">
        <v>53</v>
      </c>
      <c r="N70" s="67" t="s">
        <v>59</v>
      </c>
      <c r="O70" s="67">
        <v>42.39</v>
      </c>
      <c r="P70" s="68" t="s">
        <v>53</v>
      </c>
      <c r="Q70" s="67" t="s">
        <v>60</v>
      </c>
      <c r="R70" s="67">
        <v>8.22</v>
      </c>
      <c r="S70" s="69" t="s">
        <v>61</v>
      </c>
      <c r="T70" s="69">
        <v>179000</v>
      </c>
      <c r="U70" s="69"/>
      <c r="V70" s="69" t="s">
        <v>62</v>
      </c>
      <c r="W70" s="69">
        <v>4953.86</v>
      </c>
      <c r="X70" s="69"/>
      <c r="Y70" s="69" t="s">
        <v>63</v>
      </c>
      <c r="Z70" s="69">
        <v>1029</v>
      </c>
      <c r="AA70" s="69"/>
      <c r="AB70" s="70"/>
      <c r="AC70" s="69" t="s">
        <v>175</v>
      </c>
      <c r="AD70" s="69"/>
      <c r="AE70" s="71">
        <v>91839</v>
      </c>
      <c r="AF70" s="69"/>
      <c r="AG70" s="3" t="str">
        <f t="shared" si="1"/>
        <v>MichaelBlocker</v>
      </c>
      <c r="AH70" s="3" t="str">
        <f>VLOOKUP($AG70,[1]Sheet8!$B:$G,1,0)</f>
        <v>MICHAELBLOCKER</v>
      </c>
      <c r="AI70" s="3" t="str">
        <f>VLOOKUP($AG70,[1]Sheet8!$B:$G,4,0)</f>
        <v>EE</v>
      </c>
      <c r="AJ70" s="3" t="str">
        <f>VLOOKUP($AG70,[1]Sheet8!$B:$G,5,0)</f>
        <v>L093530003</v>
      </c>
      <c r="AK70" s="3">
        <f>VLOOKUP($AG70,[1]Sheet8!$B:$G,6,0)</f>
        <v>8.22</v>
      </c>
      <c r="AL70" s="3" t="s">
        <v>53</v>
      </c>
      <c r="AM70" s="3" t="s">
        <v>82</v>
      </c>
      <c r="AN70" s="3">
        <v>781.79</v>
      </c>
      <c r="AO70" s="3" t="s">
        <v>53</v>
      </c>
      <c r="AP70" s="3" t="s">
        <v>59</v>
      </c>
      <c r="AQ70" s="3">
        <v>42.39</v>
      </c>
      <c r="AR70" s="3" t="s">
        <v>53</v>
      </c>
      <c r="AS70" s="3" t="s">
        <v>60</v>
      </c>
      <c r="AT70" s="3">
        <v>8.22</v>
      </c>
    </row>
    <row r="71" s="3" customFormat="1" ht="15" customHeight="1" spans="1:46">
      <c r="A71" s="60">
        <v>46</v>
      </c>
      <c r="B71" s="61" t="s">
        <v>176</v>
      </c>
      <c r="C71" s="61" t="s">
        <v>177</v>
      </c>
      <c r="D71" s="61" t="s">
        <v>52</v>
      </c>
      <c r="E71" s="62">
        <v>36182</v>
      </c>
      <c r="F71" s="61">
        <v>94505</v>
      </c>
      <c r="G71" s="61" t="s">
        <v>53</v>
      </c>
      <c r="H71" s="63" t="s">
        <v>54</v>
      </c>
      <c r="I71" s="64" t="s">
        <v>53</v>
      </c>
      <c r="J71" s="63" t="s">
        <v>56</v>
      </c>
      <c r="K71" s="65" t="s">
        <v>82</v>
      </c>
      <c r="L71" s="66">
        <v>781.79</v>
      </c>
      <c r="M71" s="67" t="s">
        <v>53</v>
      </c>
      <c r="N71" s="67" t="s">
        <v>59</v>
      </c>
      <c r="O71" s="67">
        <v>42.39</v>
      </c>
      <c r="P71" s="68"/>
      <c r="Q71" s="67"/>
      <c r="R71" s="67"/>
      <c r="S71" s="69" t="s">
        <v>61</v>
      </c>
      <c r="T71" s="69">
        <v>169000</v>
      </c>
      <c r="U71" s="69"/>
      <c r="V71" s="69" t="s">
        <v>62</v>
      </c>
      <c r="W71" s="69">
        <v>4693.4</v>
      </c>
      <c r="X71" s="69"/>
      <c r="Y71" s="69" t="s">
        <v>63</v>
      </c>
      <c r="Z71" s="69">
        <v>975</v>
      </c>
      <c r="AA71" s="69"/>
      <c r="AB71" s="70"/>
      <c r="AC71" s="69" t="s">
        <v>178</v>
      </c>
      <c r="AD71" s="69"/>
      <c r="AE71" s="71">
        <v>95713</v>
      </c>
      <c r="AF71" s="69"/>
      <c r="AG71" s="3" t="str">
        <f t="shared" si="1"/>
        <v>KaiBohannon</v>
      </c>
      <c r="AH71" s="3" t="e">
        <f>VLOOKUP($AG71,[1]Sheet8!$B:$G,1,0)</f>
        <v>#N/A</v>
      </c>
      <c r="AI71" s="3" t="e">
        <f>VLOOKUP($AG71,[1]Sheet8!$B:$G,4,0)</f>
        <v>#N/A</v>
      </c>
      <c r="AJ71" s="3" t="e">
        <f>VLOOKUP($AG71,[1]Sheet8!$B:$G,5,0)</f>
        <v>#N/A</v>
      </c>
      <c r="AK71" s="3" t="e">
        <f>VLOOKUP($AG71,[1]Sheet8!$B:$G,6,0)</f>
        <v>#N/A</v>
      </c>
      <c r="AL71" s="3" t="s">
        <v>53</v>
      </c>
      <c r="AM71" s="3" t="s">
        <v>82</v>
      </c>
      <c r="AN71" s="3">
        <v>781.79</v>
      </c>
      <c r="AO71" s="3" t="s">
        <v>53</v>
      </c>
      <c r="AP71" s="3" t="s">
        <v>59</v>
      </c>
      <c r="AQ71" s="3">
        <v>42.39</v>
      </c>
    </row>
    <row r="72" s="3" customFormat="1" ht="15" customHeight="1" spans="1:46">
      <c r="A72" s="60">
        <v>47</v>
      </c>
      <c r="B72" s="61" t="s">
        <v>93</v>
      </c>
      <c r="C72" s="61" t="s">
        <v>179</v>
      </c>
      <c r="D72" s="61" t="s">
        <v>52</v>
      </c>
      <c r="E72" s="62">
        <v>31897</v>
      </c>
      <c r="F72" s="61">
        <v>34736</v>
      </c>
      <c r="G72" s="61" t="s">
        <v>53</v>
      </c>
      <c r="H72" s="63" t="s">
        <v>54</v>
      </c>
      <c r="I72" s="64" t="s">
        <v>58</v>
      </c>
      <c r="J72" s="63" t="s">
        <v>56</v>
      </c>
      <c r="K72" s="65" t="s">
        <v>57</v>
      </c>
      <c r="L72" s="66">
        <v>3831.06</v>
      </c>
      <c r="M72" s="67" t="s">
        <v>58</v>
      </c>
      <c r="N72" s="67" t="s">
        <v>59</v>
      </c>
      <c r="O72" s="67">
        <v>147.1</v>
      </c>
      <c r="P72" s="68" t="s">
        <v>58</v>
      </c>
      <c r="Q72" s="67" t="s">
        <v>60</v>
      </c>
      <c r="R72" s="67">
        <v>23</v>
      </c>
      <c r="S72" s="69" t="s">
        <v>61</v>
      </c>
      <c r="T72" s="69">
        <v>207000</v>
      </c>
      <c r="U72" s="69"/>
      <c r="V72" s="69" t="s">
        <v>62</v>
      </c>
      <c r="W72" s="69">
        <v>5730.56</v>
      </c>
      <c r="X72" s="69"/>
      <c r="Y72" s="69" t="s">
        <v>63</v>
      </c>
      <c r="Z72" s="69">
        <v>1190</v>
      </c>
      <c r="AA72" s="69"/>
      <c r="AB72" s="70"/>
      <c r="AC72" s="69" t="s">
        <v>98</v>
      </c>
      <c r="AD72" s="69"/>
      <c r="AE72" s="71">
        <v>113707.26</v>
      </c>
      <c r="AF72" s="69"/>
      <c r="AG72" s="3" t="str">
        <f t="shared" si="1"/>
        <v>SarahBowie</v>
      </c>
      <c r="AH72" s="3" t="str">
        <f>VLOOKUP($AG72,[1]Sheet8!$B:$G,1,0)</f>
        <v>SARAHBOWIE</v>
      </c>
      <c r="AI72" s="3" t="str">
        <f>VLOOKUP($AG72,[1]Sheet8!$B:$G,4,0)</f>
        <v>FAM</v>
      </c>
      <c r="AJ72" s="3" t="str">
        <f>VLOOKUP($AG72,[1]Sheet8!$B:$G,5,0)</f>
        <v>L093530003</v>
      </c>
      <c r="AK72" s="3">
        <f>VLOOKUP($AG72,[1]Sheet8!$B:$G,6,0)</f>
        <v>23</v>
      </c>
      <c r="AL72" s="3" t="s">
        <v>58</v>
      </c>
      <c r="AM72" s="3" t="s">
        <v>57</v>
      </c>
      <c r="AN72" s="3">
        <v>3831.06</v>
      </c>
      <c r="AO72" s="3" t="s">
        <v>58</v>
      </c>
      <c r="AP72" s="3" t="s">
        <v>59</v>
      </c>
      <c r="AQ72" s="3">
        <v>147.1</v>
      </c>
      <c r="AR72" s="3" t="s">
        <v>58</v>
      </c>
      <c r="AS72" s="3" t="s">
        <v>60</v>
      </c>
      <c r="AT72" s="3">
        <v>23</v>
      </c>
    </row>
    <row r="73" s="3" customFormat="1" ht="15" customHeight="1" spans="1:46">
      <c r="A73" s="60">
        <v>48</v>
      </c>
      <c r="B73" s="61" t="s">
        <v>180</v>
      </c>
      <c r="C73" s="61" t="s">
        <v>179</v>
      </c>
      <c r="D73" s="61" t="s">
        <v>52</v>
      </c>
      <c r="E73" s="62">
        <v>42105</v>
      </c>
      <c r="F73" s="61">
        <v>34736</v>
      </c>
      <c r="G73" s="61" t="s">
        <v>68</v>
      </c>
      <c r="H73" s="63">
        <v>47</v>
      </c>
      <c r="I73" s="64" t="s">
        <v>58</v>
      </c>
      <c r="J73" s="63" t="s">
        <v>56</v>
      </c>
      <c r="K73" s="65"/>
      <c r="L73" s="66"/>
      <c r="M73" s="67"/>
      <c r="N73" s="67"/>
      <c r="O73" s="67"/>
      <c r="P73" s="68"/>
      <c r="Q73" s="67"/>
      <c r="R73" s="67"/>
      <c r="S73" s="69"/>
      <c r="T73" s="69"/>
      <c r="U73" s="69"/>
      <c r="V73" s="69"/>
      <c r="W73" s="69"/>
      <c r="X73" s="69"/>
      <c r="Y73" s="69"/>
      <c r="Z73" s="69"/>
      <c r="AA73" s="69"/>
      <c r="AB73" s="70"/>
      <c r="AC73" s="69"/>
      <c r="AD73" s="69"/>
      <c r="AE73" s="71"/>
      <c r="AF73" s="69"/>
    </row>
    <row r="74" s="3" customFormat="1" ht="15" customHeight="1" spans="1:46">
      <c r="A74" s="60">
        <v>49</v>
      </c>
      <c r="B74" s="61" t="s">
        <v>181</v>
      </c>
      <c r="C74" s="61" t="s">
        <v>179</v>
      </c>
      <c r="D74" s="61" t="s">
        <v>67</v>
      </c>
      <c r="E74" s="62">
        <v>31555</v>
      </c>
      <c r="F74" s="61">
        <v>34736</v>
      </c>
      <c r="G74" s="61" t="s">
        <v>85</v>
      </c>
      <c r="H74" s="63">
        <v>47</v>
      </c>
      <c r="I74" s="64" t="s">
        <v>58</v>
      </c>
      <c r="J74" s="63" t="s">
        <v>56</v>
      </c>
      <c r="K74" s="65"/>
      <c r="L74" s="66"/>
      <c r="M74" s="67"/>
      <c r="N74" s="67"/>
      <c r="O74" s="67"/>
      <c r="P74" s="68"/>
      <c r="Q74" s="67"/>
      <c r="R74" s="67"/>
      <c r="S74" s="69"/>
      <c r="T74" s="69"/>
      <c r="U74" s="69"/>
      <c r="V74" s="69"/>
      <c r="W74" s="69"/>
      <c r="X74" s="69"/>
      <c r="Y74" s="69"/>
      <c r="Z74" s="69"/>
      <c r="AA74" s="69"/>
      <c r="AB74" s="70"/>
      <c r="AC74" s="69"/>
      <c r="AD74" s="69"/>
      <c r="AE74" s="71"/>
      <c r="AF74" s="69"/>
    </row>
    <row r="75" s="3" customFormat="1" ht="15" customHeight="1" spans="1:46">
      <c r="A75" s="60">
        <v>50</v>
      </c>
      <c r="B75" s="61" t="s">
        <v>182</v>
      </c>
      <c r="C75" s="61" t="s">
        <v>179</v>
      </c>
      <c r="D75" s="61" t="s">
        <v>52</v>
      </c>
      <c r="E75" s="62">
        <v>43189</v>
      </c>
      <c r="F75" s="61">
        <v>34736</v>
      </c>
      <c r="G75" s="61" t="s">
        <v>68</v>
      </c>
      <c r="H75" s="63">
        <v>47</v>
      </c>
      <c r="I75" s="64" t="s">
        <v>58</v>
      </c>
      <c r="J75" s="63" t="s">
        <v>56</v>
      </c>
      <c r="K75" s="65"/>
      <c r="L75" s="66"/>
      <c r="M75" s="67"/>
      <c r="N75" s="67"/>
      <c r="O75" s="67"/>
      <c r="P75" s="68"/>
      <c r="Q75" s="67"/>
      <c r="R75" s="67"/>
      <c r="S75" s="69"/>
      <c r="T75" s="69"/>
      <c r="U75" s="69"/>
      <c r="V75" s="69"/>
      <c r="W75" s="69"/>
      <c r="X75" s="69"/>
      <c r="Y75" s="69"/>
      <c r="Z75" s="69"/>
      <c r="AA75" s="69"/>
      <c r="AB75" s="70"/>
      <c r="AC75" s="69"/>
      <c r="AD75" s="69"/>
      <c r="AE75" s="71"/>
      <c r="AF75" s="69"/>
    </row>
    <row r="76" s="3" customFormat="1" ht="15" customHeight="1" spans="1:46">
      <c r="A76" s="60">
        <v>51</v>
      </c>
      <c r="B76" s="61" t="s">
        <v>183</v>
      </c>
      <c r="C76" s="61" t="s">
        <v>184</v>
      </c>
      <c r="D76" s="61" t="s">
        <v>52</v>
      </c>
      <c r="E76" s="62">
        <v>34739</v>
      </c>
      <c r="F76" s="61">
        <v>92130</v>
      </c>
      <c r="G76" s="61" t="s">
        <v>53</v>
      </c>
      <c r="H76" s="63" t="s">
        <v>54</v>
      </c>
      <c r="I76" s="64" t="s">
        <v>53</v>
      </c>
      <c r="J76" s="63" t="s">
        <v>56</v>
      </c>
      <c r="K76" s="65" t="s">
        <v>82</v>
      </c>
      <c r="L76" s="66">
        <v>781.79</v>
      </c>
      <c r="M76" s="67" t="s">
        <v>53</v>
      </c>
      <c r="N76" s="67" t="s">
        <v>59</v>
      </c>
      <c r="O76" s="67">
        <v>42.39</v>
      </c>
      <c r="P76" s="68" t="s">
        <v>53</v>
      </c>
      <c r="Q76" s="67" t="s">
        <v>60</v>
      </c>
      <c r="R76" s="67">
        <v>8.22</v>
      </c>
      <c r="S76" s="69" t="s">
        <v>61</v>
      </c>
      <c r="T76" s="69">
        <v>199000</v>
      </c>
      <c r="U76" s="69"/>
      <c r="V76" s="69" t="s">
        <v>62</v>
      </c>
      <c r="W76" s="69">
        <v>5522.11</v>
      </c>
      <c r="X76" s="69"/>
      <c r="Y76" s="69" t="s">
        <v>63</v>
      </c>
      <c r="Z76" s="69">
        <v>1147</v>
      </c>
      <c r="AA76" s="69"/>
      <c r="AB76" s="70"/>
      <c r="AC76" s="69" t="s">
        <v>185</v>
      </c>
      <c r="AD76" s="69"/>
      <c r="AE76" s="71">
        <v>103071</v>
      </c>
      <c r="AF76" s="69"/>
      <c r="AG76" s="3" t="str">
        <f>B76&amp;C76</f>
        <v>TatijanaBowman</v>
      </c>
      <c r="AH76" s="3" t="str">
        <f>VLOOKUP($AG76,[1]Sheet8!$B:$G,1,0)</f>
        <v>TATIJANABOWMAN</v>
      </c>
      <c r="AI76" s="3" t="str">
        <f>VLOOKUP($AG76,[1]Sheet8!$B:$G,4,0)</f>
        <v>EE</v>
      </c>
      <c r="AJ76" s="3" t="str">
        <f>VLOOKUP($AG76,[1]Sheet8!$B:$G,5,0)</f>
        <v>L093530003</v>
      </c>
      <c r="AK76" s="3">
        <f>VLOOKUP($AG76,[1]Sheet8!$B:$G,6,0)</f>
        <v>8.22</v>
      </c>
      <c r="AL76" s="3" t="s">
        <v>53</v>
      </c>
      <c r="AM76" s="3" t="s">
        <v>82</v>
      </c>
      <c r="AN76" s="3">
        <v>781.79</v>
      </c>
      <c r="AO76" s="3" t="s">
        <v>53</v>
      </c>
      <c r="AP76" s="3" t="s">
        <v>59</v>
      </c>
      <c r="AQ76" s="3">
        <v>42.39</v>
      </c>
      <c r="AR76" s="3" t="s">
        <v>53</v>
      </c>
      <c r="AS76" s="3" t="s">
        <v>60</v>
      </c>
      <c r="AT76" s="3">
        <v>8.22</v>
      </c>
    </row>
    <row r="77" s="3" customFormat="1" ht="15" customHeight="1" spans="1:46">
      <c r="A77" s="60">
        <v>52</v>
      </c>
      <c r="B77" s="61" t="s">
        <v>186</v>
      </c>
      <c r="C77" s="61" t="s">
        <v>187</v>
      </c>
      <c r="D77" s="61" t="s">
        <v>52</v>
      </c>
      <c r="E77" s="62">
        <v>25913</v>
      </c>
      <c r="F77" s="61">
        <v>92629</v>
      </c>
      <c r="G77" s="61" t="s">
        <v>53</v>
      </c>
      <c r="H77" s="63" t="s">
        <v>54</v>
      </c>
      <c r="I77" s="64" t="s">
        <v>53</v>
      </c>
      <c r="J77" s="63" t="s">
        <v>56</v>
      </c>
      <c r="K77" s="65" t="s">
        <v>82</v>
      </c>
      <c r="L77" s="66">
        <v>781.79</v>
      </c>
      <c r="M77" s="67" t="s">
        <v>53</v>
      </c>
      <c r="N77" s="67" t="s">
        <v>59</v>
      </c>
      <c r="O77" s="67">
        <v>42.39</v>
      </c>
      <c r="P77" s="68" t="s">
        <v>53</v>
      </c>
      <c r="Q77" s="67" t="s">
        <v>60</v>
      </c>
      <c r="R77" s="67">
        <v>8.22</v>
      </c>
      <c r="S77" s="69" t="s">
        <v>61</v>
      </c>
      <c r="T77" s="69">
        <v>250000</v>
      </c>
      <c r="U77" s="69"/>
      <c r="V77" s="69" t="s">
        <v>62</v>
      </c>
      <c r="W77" s="69">
        <v>9184.29</v>
      </c>
      <c r="X77" s="69"/>
      <c r="Y77" s="69" t="s">
        <v>63</v>
      </c>
      <c r="Z77" s="69">
        <v>1907</v>
      </c>
      <c r="AA77" s="69"/>
      <c r="AB77" s="70"/>
      <c r="AC77" s="69" t="s">
        <v>89</v>
      </c>
      <c r="AD77" s="69"/>
      <c r="AE77" s="71">
        <v>169913</v>
      </c>
      <c r="AF77" s="69"/>
      <c r="AG77" s="3" t="str">
        <f>B77&amp;C77</f>
        <v>KellyBrennan</v>
      </c>
      <c r="AH77" s="3" t="str">
        <f>VLOOKUP($AG77,[1]Sheet8!$B:$G,1,0)</f>
        <v>KELLYBRENNAN</v>
      </c>
      <c r="AI77" s="3" t="str">
        <f>VLOOKUP($AG77,[1]Sheet8!$B:$G,4,0)</f>
        <v>EE</v>
      </c>
      <c r="AJ77" s="3" t="str">
        <f>VLOOKUP($AG77,[1]Sheet8!$B:$G,5,0)</f>
        <v>L093530003</v>
      </c>
      <c r="AK77" s="3">
        <f>VLOOKUP($AG77,[1]Sheet8!$B:$G,6,0)</f>
        <v>8.22</v>
      </c>
      <c r="AL77" s="3" t="s">
        <v>53</v>
      </c>
      <c r="AM77" s="3" t="s">
        <v>82</v>
      </c>
      <c r="AN77" s="3">
        <v>781.79</v>
      </c>
      <c r="AO77" s="3" t="s">
        <v>53</v>
      </c>
      <c r="AP77" s="3" t="s">
        <v>59</v>
      </c>
      <c r="AQ77" s="3">
        <v>42.39</v>
      </c>
      <c r="AR77" s="3" t="s">
        <v>53</v>
      </c>
      <c r="AS77" s="3" t="s">
        <v>60</v>
      </c>
      <c r="AT77" s="3">
        <v>8.22</v>
      </c>
    </row>
    <row r="78" s="3" customFormat="1" ht="15" customHeight="1" spans="1:46">
      <c r="A78" s="60">
        <v>53</v>
      </c>
      <c r="B78" s="61" t="s">
        <v>188</v>
      </c>
      <c r="C78" s="61" t="s">
        <v>189</v>
      </c>
      <c r="D78" s="61" t="s">
        <v>67</v>
      </c>
      <c r="E78" s="62">
        <v>25958</v>
      </c>
      <c r="F78" s="61">
        <v>95633</v>
      </c>
      <c r="G78" s="61" t="s">
        <v>53</v>
      </c>
      <c r="H78" s="63" t="s">
        <v>54</v>
      </c>
      <c r="I78" s="64" t="s">
        <v>81</v>
      </c>
      <c r="J78" s="63" t="s">
        <v>56</v>
      </c>
      <c r="K78" s="65" t="s">
        <v>57</v>
      </c>
      <c r="L78" s="66">
        <v>2718.81</v>
      </c>
      <c r="M78" s="67" t="s">
        <v>81</v>
      </c>
      <c r="N78" s="67" t="s">
        <v>59</v>
      </c>
      <c r="O78" s="67">
        <v>84.72</v>
      </c>
      <c r="P78" s="68" t="s">
        <v>81</v>
      </c>
      <c r="Q78" s="67" t="s">
        <v>60</v>
      </c>
      <c r="R78" s="67">
        <v>16.48</v>
      </c>
      <c r="S78" s="69" t="s">
        <v>61</v>
      </c>
      <c r="T78" s="69">
        <v>250000</v>
      </c>
      <c r="U78" s="69"/>
      <c r="V78" s="69" t="s">
        <v>62</v>
      </c>
      <c r="W78" s="69">
        <v>10000</v>
      </c>
      <c r="X78" s="69"/>
      <c r="Y78" s="69" t="s">
        <v>63</v>
      </c>
      <c r="Z78" s="69">
        <v>2000</v>
      </c>
      <c r="AA78" s="69"/>
      <c r="AB78" s="70"/>
      <c r="AC78" s="69" t="s">
        <v>190</v>
      </c>
      <c r="AD78" s="69"/>
      <c r="AE78" s="71">
        <v>251006</v>
      </c>
      <c r="AF78" s="69"/>
      <c r="AG78" s="3" t="str">
        <f>B78&amp;C78</f>
        <v>RobertBrewer</v>
      </c>
      <c r="AH78" s="3" t="str">
        <f>VLOOKUP($AG78,[1]Sheet8!$B:$G,1,0)</f>
        <v>ROBERTBREWER</v>
      </c>
      <c r="AI78" s="3" t="str">
        <f>VLOOKUP($AG78,[1]Sheet8!$B:$G,4,0)</f>
        <v>ES</v>
      </c>
      <c r="AJ78" s="3" t="str">
        <f>VLOOKUP($AG78,[1]Sheet8!$B:$G,5,0)</f>
        <v>L093530003</v>
      </c>
      <c r="AK78" s="3">
        <f>VLOOKUP($AG78,[1]Sheet8!$B:$G,6,0)</f>
        <v>16.48</v>
      </c>
      <c r="AL78" s="3" t="s">
        <v>81</v>
      </c>
      <c r="AM78" s="3" t="s">
        <v>57</v>
      </c>
      <c r="AN78" s="3">
        <v>2718.81</v>
      </c>
      <c r="AO78" s="3" t="s">
        <v>81</v>
      </c>
      <c r="AP78" s="3" t="s">
        <v>59</v>
      </c>
      <c r="AQ78" s="3">
        <v>84.72</v>
      </c>
      <c r="AR78" s="3" t="s">
        <v>81</v>
      </c>
      <c r="AS78" s="3" t="s">
        <v>60</v>
      </c>
      <c r="AT78" s="3">
        <v>16.48</v>
      </c>
    </row>
    <row r="79" s="3" customFormat="1" ht="15" customHeight="1" spans="1:46">
      <c r="A79" s="60">
        <v>54</v>
      </c>
      <c r="B79" s="61" t="s">
        <v>191</v>
      </c>
      <c r="C79" s="61" t="s">
        <v>189</v>
      </c>
      <c r="D79" s="61" t="s">
        <v>52</v>
      </c>
      <c r="E79" s="62">
        <v>25440</v>
      </c>
      <c r="F79" s="61">
        <v>95633</v>
      </c>
      <c r="G79" s="61" t="s">
        <v>85</v>
      </c>
      <c r="H79" s="63">
        <v>53</v>
      </c>
      <c r="I79" s="64" t="s">
        <v>81</v>
      </c>
      <c r="J79" s="63" t="s">
        <v>56</v>
      </c>
      <c r="K79" s="65"/>
      <c r="L79" s="66"/>
      <c r="M79" s="67"/>
      <c r="N79" s="67"/>
      <c r="O79" s="67"/>
      <c r="P79" s="68"/>
      <c r="Q79" s="67"/>
      <c r="R79" s="67"/>
      <c r="S79" s="69"/>
      <c r="T79" s="69"/>
      <c r="U79" s="69"/>
      <c r="V79" s="69"/>
      <c r="W79" s="69"/>
      <c r="X79" s="69"/>
      <c r="Y79" s="69"/>
      <c r="Z79" s="69"/>
      <c r="AA79" s="69"/>
      <c r="AB79" s="70"/>
      <c r="AC79" s="69"/>
      <c r="AD79" s="69"/>
      <c r="AE79" s="71"/>
      <c r="AF79" s="69"/>
    </row>
    <row r="80" s="3" customFormat="1" ht="15" customHeight="1" spans="1:46">
      <c r="A80" s="60">
        <v>55</v>
      </c>
      <c r="B80" s="61" t="s">
        <v>192</v>
      </c>
      <c r="C80" s="61" t="s">
        <v>193</v>
      </c>
      <c r="D80" s="61" t="s">
        <v>52</v>
      </c>
      <c r="E80" s="62">
        <v>36616</v>
      </c>
      <c r="F80" s="61">
        <v>80202</v>
      </c>
      <c r="G80" s="61" t="s">
        <v>53</v>
      </c>
      <c r="H80" s="63" t="s">
        <v>54</v>
      </c>
      <c r="I80" s="64" t="s">
        <v>53</v>
      </c>
      <c r="J80" s="63" t="s">
        <v>56</v>
      </c>
      <c r="K80" s="65" t="s">
        <v>82</v>
      </c>
      <c r="L80" s="66">
        <v>781.79</v>
      </c>
      <c r="M80" s="67" t="s">
        <v>53</v>
      </c>
      <c r="N80" s="67" t="s">
        <v>59</v>
      </c>
      <c r="O80" s="67">
        <v>42.39</v>
      </c>
      <c r="P80" s="68" t="s">
        <v>53</v>
      </c>
      <c r="Q80" s="67" t="s">
        <v>60</v>
      </c>
      <c r="R80" s="67">
        <v>8.22</v>
      </c>
      <c r="S80" s="69" t="s">
        <v>61</v>
      </c>
      <c r="T80" s="69">
        <v>170000</v>
      </c>
      <c r="U80" s="69"/>
      <c r="V80" s="69" t="s">
        <v>62</v>
      </c>
      <c r="W80" s="69">
        <v>4722.46</v>
      </c>
      <c r="X80" s="69"/>
      <c r="Y80" s="69" t="s">
        <v>63</v>
      </c>
      <c r="Z80" s="69">
        <v>981</v>
      </c>
      <c r="AA80" s="69"/>
      <c r="AB80" s="70"/>
      <c r="AC80" s="69" t="s">
        <v>194</v>
      </c>
      <c r="AD80" s="69"/>
      <c r="AE80" s="71">
        <v>87550</v>
      </c>
      <c r="AF80" s="69"/>
      <c r="AG80" s="3" t="str">
        <f>B80&amp;C80</f>
        <v>SaigeBrey</v>
      </c>
      <c r="AH80" s="3" t="str">
        <f>VLOOKUP($AG80,[1]Sheet8!$B:$G,1,0)</f>
        <v>SAIGEBREY</v>
      </c>
      <c r="AI80" s="3" t="str">
        <f>VLOOKUP($AG80,[1]Sheet8!$B:$G,4,0)</f>
        <v>EE</v>
      </c>
      <c r="AJ80" s="3" t="str">
        <f>VLOOKUP($AG80,[1]Sheet8!$B:$G,5,0)</f>
        <v>L093530003</v>
      </c>
      <c r="AK80" s="3">
        <f>VLOOKUP($AG80,[1]Sheet8!$B:$G,6,0)</f>
        <v>8.22</v>
      </c>
      <c r="AL80" s="3" t="s">
        <v>53</v>
      </c>
      <c r="AM80" s="3" t="s">
        <v>82</v>
      </c>
      <c r="AN80" s="3">
        <v>781.79</v>
      </c>
      <c r="AO80" s="3" t="s">
        <v>53</v>
      </c>
      <c r="AP80" s="3" t="s">
        <v>59</v>
      </c>
      <c r="AQ80" s="3">
        <v>42.39</v>
      </c>
      <c r="AR80" s="3" t="s">
        <v>53</v>
      </c>
      <c r="AS80" s="3" t="s">
        <v>60</v>
      </c>
      <c r="AT80" s="3">
        <v>8.22</v>
      </c>
    </row>
    <row r="81" s="3" customFormat="1" ht="15" customHeight="1" spans="1:46">
      <c r="A81" s="60">
        <v>56</v>
      </c>
      <c r="B81" s="61" t="s">
        <v>195</v>
      </c>
      <c r="C81" s="61" t="s">
        <v>196</v>
      </c>
      <c r="D81" s="61" t="s">
        <v>52</v>
      </c>
      <c r="E81" s="62">
        <v>31636</v>
      </c>
      <c r="F81" s="61">
        <v>30307</v>
      </c>
      <c r="G81" s="61" t="s">
        <v>53</v>
      </c>
      <c r="H81" s="63" t="s">
        <v>54</v>
      </c>
      <c r="I81" s="64" t="s">
        <v>53</v>
      </c>
      <c r="J81" s="63" t="s">
        <v>56</v>
      </c>
      <c r="K81" s="65" t="s">
        <v>57</v>
      </c>
      <c r="L81" s="66">
        <v>1235.83</v>
      </c>
      <c r="M81" s="67" t="s">
        <v>53</v>
      </c>
      <c r="N81" s="67" t="s">
        <v>59</v>
      </c>
      <c r="O81" s="67">
        <v>42.39</v>
      </c>
      <c r="P81" s="68" t="s">
        <v>53</v>
      </c>
      <c r="Q81" s="67" t="s">
        <v>60</v>
      </c>
      <c r="R81" s="67">
        <v>8.22</v>
      </c>
      <c r="S81" s="69" t="s">
        <v>61</v>
      </c>
      <c r="T81" s="69">
        <v>250000</v>
      </c>
      <c r="U81" s="69"/>
      <c r="V81" s="69" t="s">
        <v>62</v>
      </c>
      <c r="W81" s="69">
        <v>7666.88</v>
      </c>
      <c r="X81" s="69"/>
      <c r="Y81" s="69" t="s">
        <v>63</v>
      </c>
      <c r="Z81" s="69">
        <v>1592</v>
      </c>
      <c r="AA81" s="69"/>
      <c r="AB81" s="70"/>
      <c r="AC81" s="69" t="s">
        <v>197</v>
      </c>
      <c r="AD81" s="69"/>
      <c r="AE81" s="71">
        <v>150000</v>
      </c>
      <c r="AF81" s="69"/>
      <c r="AG81" s="3" t="str">
        <f>B81&amp;C81</f>
        <v>AshleyBrown</v>
      </c>
      <c r="AH81" s="3" t="str">
        <f>VLOOKUP($AG81,[1]Sheet8!$B:$G,1,0)</f>
        <v>ASHLEYBROWN</v>
      </c>
      <c r="AI81" s="3" t="str">
        <f>VLOOKUP($AG81,[1]Sheet8!$B:$G,4,0)</f>
        <v>EE</v>
      </c>
      <c r="AJ81" s="3" t="str">
        <f>VLOOKUP($AG81,[1]Sheet8!$B:$G,5,0)</f>
        <v>L093530003</v>
      </c>
      <c r="AK81" s="3">
        <f>VLOOKUP($AG81,[1]Sheet8!$B:$G,6,0)</f>
        <v>8.22</v>
      </c>
      <c r="AL81" s="3" t="s">
        <v>53</v>
      </c>
      <c r="AM81" s="3" t="s">
        <v>57</v>
      </c>
      <c r="AN81" s="3">
        <v>1235.83</v>
      </c>
      <c r="AO81" s="3" t="s">
        <v>53</v>
      </c>
      <c r="AP81" s="3" t="s">
        <v>59</v>
      </c>
      <c r="AQ81" s="3">
        <v>42.39</v>
      </c>
      <c r="AR81" s="3" t="s">
        <v>53</v>
      </c>
      <c r="AS81" s="3" t="s">
        <v>60</v>
      </c>
      <c r="AT81" s="3">
        <v>8.22</v>
      </c>
    </row>
    <row r="82" s="3" customFormat="1" ht="15" customHeight="1" spans="1:46">
      <c r="A82" s="60">
        <v>57</v>
      </c>
      <c r="B82" s="61" t="s">
        <v>198</v>
      </c>
      <c r="C82" s="61" t="s">
        <v>199</v>
      </c>
      <c r="D82" s="61" t="s">
        <v>52</v>
      </c>
      <c r="E82" s="62">
        <v>36724</v>
      </c>
      <c r="F82" s="61" t="s">
        <v>200</v>
      </c>
      <c r="G82" s="61" t="s">
        <v>53</v>
      </c>
      <c r="H82" s="63" t="s">
        <v>54</v>
      </c>
      <c r="I82" s="64" t="s">
        <v>119</v>
      </c>
      <c r="J82" s="63" t="s">
        <v>56</v>
      </c>
      <c r="K82" s="65"/>
      <c r="L82" s="66"/>
      <c r="M82" s="67" t="s">
        <v>81</v>
      </c>
      <c r="N82" s="67" t="s">
        <v>59</v>
      </c>
      <c r="O82" s="67">
        <v>84.72</v>
      </c>
      <c r="P82" s="68" t="s">
        <v>81</v>
      </c>
      <c r="Q82" s="67" t="s">
        <v>60</v>
      </c>
      <c r="R82" s="67">
        <v>16.48</v>
      </c>
      <c r="S82" s="69" t="s">
        <v>61</v>
      </c>
      <c r="T82" s="69">
        <v>150000</v>
      </c>
      <c r="U82" s="69"/>
      <c r="V82" s="69" t="s">
        <v>62</v>
      </c>
      <c r="W82" s="69">
        <v>4166.88</v>
      </c>
      <c r="X82" s="69"/>
      <c r="Y82" s="69" t="s">
        <v>63</v>
      </c>
      <c r="Z82" s="69">
        <v>865</v>
      </c>
      <c r="AA82" s="69"/>
      <c r="AB82" s="70"/>
      <c r="AC82" s="69" t="s">
        <v>201</v>
      </c>
      <c r="AD82" s="69"/>
      <c r="AE82" s="71">
        <v>76913</v>
      </c>
      <c r="AF82" s="69"/>
      <c r="AG82" s="3" t="str">
        <f>B82&amp;C82</f>
        <v>AnnaBurt</v>
      </c>
      <c r="AH82" s="3" t="str">
        <f>VLOOKUP($AG82,[1]Sheet8!$B:$G,1,0)</f>
        <v>ANNABURT</v>
      </c>
      <c r="AI82" s="3" t="str">
        <f>VLOOKUP($AG82,[1]Sheet8!$B:$G,4,0)</f>
        <v>ES</v>
      </c>
      <c r="AJ82" s="3" t="str">
        <f>VLOOKUP($AG82,[1]Sheet8!$B:$G,5,0)</f>
        <v>L093530003</v>
      </c>
      <c r="AK82" s="3">
        <f>VLOOKUP($AG82,[1]Sheet8!$B:$G,6,0)</f>
        <v>16.48</v>
      </c>
      <c r="AO82" s="3" t="s">
        <v>81</v>
      </c>
      <c r="AP82" s="3" t="s">
        <v>59</v>
      </c>
      <c r="AQ82" s="3">
        <v>84.72</v>
      </c>
      <c r="AR82" s="3" t="s">
        <v>81</v>
      </c>
      <c r="AS82" s="3" t="s">
        <v>60</v>
      </c>
      <c r="AT82" s="3">
        <v>16.48</v>
      </c>
    </row>
    <row r="83" s="3" customFormat="1" ht="15" customHeight="1" spans="1:46">
      <c r="A83" s="60">
        <v>58</v>
      </c>
      <c r="B83" s="61" t="s">
        <v>202</v>
      </c>
      <c r="C83" s="61" t="s">
        <v>203</v>
      </c>
      <c r="D83" s="61" t="s">
        <v>67</v>
      </c>
      <c r="E83" s="62">
        <v>33893</v>
      </c>
      <c r="F83" s="61">
        <v>80015</v>
      </c>
      <c r="G83" s="61" t="s">
        <v>53</v>
      </c>
      <c r="H83" s="63" t="s">
        <v>54</v>
      </c>
      <c r="I83" s="64" t="s">
        <v>119</v>
      </c>
      <c r="J83" s="63" t="s">
        <v>56</v>
      </c>
      <c r="K83" s="65"/>
      <c r="L83" s="66"/>
      <c r="M83" s="67"/>
      <c r="N83" s="67"/>
      <c r="O83" s="67"/>
      <c r="P83" s="68"/>
      <c r="Q83" s="67"/>
      <c r="R83" s="67"/>
      <c r="S83" s="69" t="s">
        <v>61</v>
      </c>
      <c r="T83" s="69">
        <v>250000</v>
      </c>
      <c r="U83" s="69"/>
      <c r="V83" s="69" t="s">
        <v>62</v>
      </c>
      <c r="W83" s="69">
        <v>8889.33</v>
      </c>
      <c r="X83" s="69"/>
      <c r="Y83" s="69" t="s">
        <v>63</v>
      </c>
      <c r="Z83" s="69">
        <v>1846</v>
      </c>
      <c r="AA83" s="69"/>
      <c r="AB83" s="70"/>
      <c r="AC83" s="69" t="s">
        <v>204</v>
      </c>
      <c r="AD83" s="69"/>
      <c r="AE83" s="71">
        <v>160000</v>
      </c>
      <c r="AF83" s="69"/>
      <c r="AG83" s="3" t="str">
        <f>B83&amp;C83</f>
        <v>RydenButler</v>
      </c>
      <c r="AH83" s="3" t="e">
        <f>VLOOKUP($AG83,[1]Sheet8!$B:$G,1,0)</f>
        <v>#N/A</v>
      </c>
      <c r="AI83" s="3" t="e">
        <f>VLOOKUP($AG83,[1]Sheet8!$B:$G,4,0)</f>
        <v>#N/A</v>
      </c>
      <c r="AJ83" s="3" t="e">
        <f>VLOOKUP($AG83,[1]Sheet8!$B:$G,5,0)</f>
        <v>#N/A</v>
      </c>
      <c r="AK83" s="3" t="e">
        <f>VLOOKUP($AG83,[1]Sheet8!$B:$G,6,0)</f>
        <v>#N/A</v>
      </c>
    </row>
    <row r="84" s="3" customFormat="1" ht="15" customHeight="1" spans="1:46">
      <c r="A84" s="60">
        <v>59</v>
      </c>
      <c r="B84" s="61" t="s">
        <v>205</v>
      </c>
      <c r="C84" s="61" t="s">
        <v>203</v>
      </c>
      <c r="D84" s="61" t="s">
        <v>67</v>
      </c>
      <c r="E84" s="62">
        <v>32695</v>
      </c>
      <c r="F84" s="61">
        <v>33713</v>
      </c>
      <c r="G84" s="61" t="s">
        <v>53</v>
      </c>
      <c r="H84" s="63" t="s">
        <v>54</v>
      </c>
      <c r="I84" s="64" t="s">
        <v>58</v>
      </c>
      <c r="J84" s="63" t="s">
        <v>56</v>
      </c>
      <c r="K84" s="65" t="s">
        <v>57</v>
      </c>
      <c r="L84" s="66">
        <v>3831.06</v>
      </c>
      <c r="M84" s="67" t="s">
        <v>58</v>
      </c>
      <c r="N84" s="67" t="s">
        <v>59</v>
      </c>
      <c r="O84" s="67">
        <v>147.1</v>
      </c>
      <c r="P84" s="68" t="s">
        <v>81</v>
      </c>
      <c r="Q84" s="67" t="s">
        <v>60</v>
      </c>
      <c r="R84" s="67">
        <v>16.48</v>
      </c>
      <c r="S84" s="69" t="s">
        <v>61</v>
      </c>
      <c r="T84" s="69">
        <v>250000</v>
      </c>
      <c r="U84" s="69"/>
      <c r="V84" s="69" t="s">
        <v>62</v>
      </c>
      <c r="W84" s="69">
        <v>7688.33</v>
      </c>
      <c r="X84" s="69"/>
      <c r="Y84" s="69" t="s">
        <v>63</v>
      </c>
      <c r="Z84" s="69">
        <v>1597</v>
      </c>
      <c r="AA84" s="69"/>
      <c r="AB84" s="70"/>
      <c r="AC84" s="69" t="s">
        <v>206</v>
      </c>
      <c r="AD84" s="69"/>
      <c r="AE84" s="71">
        <v>164800</v>
      </c>
      <c r="AF84" s="69"/>
      <c r="AG84" s="3" t="str">
        <f>B84&amp;C84</f>
        <v>ClaytonButler</v>
      </c>
      <c r="AH84" s="3" t="str">
        <f>VLOOKUP($AG84,[1]Sheet8!$B:$G,1,0)</f>
        <v>CLAYTONBUTLER</v>
      </c>
      <c r="AI84" s="3" t="str">
        <f>VLOOKUP($AG84,[1]Sheet8!$B:$G,4,0)</f>
        <v>ES</v>
      </c>
      <c r="AJ84" s="3" t="str">
        <f>VLOOKUP($AG84,[1]Sheet8!$B:$G,5,0)</f>
        <v>L093530003</v>
      </c>
      <c r="AK84" s="3">
        <f>VLOOKUP($AG84,[1]Sheet8!$B:$G,6,0)</f>
        <v>16.48</v>
      </c>
      <c r="AL84" s="3" t="s">
        <v>58</v>
      </c>
      <c r="AM84" s="3" t="s">
        <v>57</v>
      </c>
      <c r="AN84" s="3">
        <v>3831.06</v>
      </c>
      <c r="AO84" s="3" t="s">
        <v>58</v>
      </c>
      <c r="AP84" s="3" t="s">
        <v>59</v>
      </c>
      <c r="AQ84" s="3">
        <v>147.1</v>
      </c>
      <c r="AR84" s="3" t="s">
        <v>81</v>
      </c>
      <c r="AS84" s="3" t="s">
        <v>60</v>
      </c>
      <c r="AT84" s="3">
        <v>16.48</v>
      </c>
    </row>
    <row r="85" s="3" customFormat="1" ht="15" customHeight="1" spans="1:46">
      <c r="A85" s="60">
        <v>60</v>
      </c>
      <c r="B85" s="61" t="s">
        <v>207</v>
      </c>
      <c r="C85" s="61" t="s">
        <v>208</v>
      </c>
      <c r="D85" s="61" t="s">
        <v>67</v>
      </c>
      <c r="E85" s="62">
        <v>45024</v>
      </c>
      <c r="F85" s="61">
        <v>33713</v>
      </c>
      <c r="G85" s="61" t="s">
        <v>68</v>
      </c>
      <c r="H85" s="63">
        <v>59</v>
      </c>
      <c r="I85" s="64" t="s">
        <v>58</v>
      </c>
      <c r="J85" s="63" t="s">
        <v>56</v>
      </c>
      <c r="K85" s="65"/>
      <c r="L85" s="66"/>
      <c r="M85" s="67"/>
      <c r="N85" s="67"/>
      <c r="O85" s="67"/>
      <c r="P85" s="68"/>
      <c r="Q85" s="67"/>
      <c r="R85" s="67"/>
      <c r="S85" s="69"/>
      <c r="T85" s="69"/>
      <c r="U85" s="69"/>
      <c r="V85" s="69"/>
      <c r="W85" s="69"/>
      <c r="X85" s="69"/>
      <c r="Y85" s="69"/>
      <c r="Z85" s="69"/>
      <c r="AA85" s="69"/>
      <c r="AB85" s="70"/>
      <c r="AC85" s="69"/>
      <c r="AD85" s="69"/>
      <c r="AE85" s="71"/>
      <c r="AF85" s="69"/>
    </row>
    <row r="86" s="3" customFormat="1" ht="15" customHeight="1" spans="1:46">
      <c r="A86" s="60">
        <v>61</v>
      </c>
      <c r="B86" s="61" t="s">
        <v>209</v>
      </c>
      <c r="C86" s="61" t="s">
        <v>210</v>
      </c>
      <c r="D86" s="61" t="s">
        <v>52</v>
      </c>
      <c r="E86" s="62">
        <v>30961</v>
      </c>
      <c r="F86" s="61">
        <v>33713</v>
      </c>
      <c r="G86" s="61" t="s">
        <v>85</v>
      </c>
      <c r="H86" s="63">
        <v>59</v>
      </c>
      <c r="I86" s="64" t="s">
        <v>58</v>
      </c>
      <c r="J86" s="63" t="s">
        <v>56</v>
      </c>
      <c r="K86" s="65"/>
      <c r="L86" s="66"/>
      <c r="M86" s="67"/>
      <c r="N86" s="67"/>
      <c r="O86" s="67"/>
      <c r="P86" s="68"/>
      <c r="Q86" s="67"/>
      <c r="R86" s="67"/>
      <c r="S86" s="69"/>
      <c r="T86" s="69"/>
      <c r="U86" s="69"/>
      <c r="V86" s="69"/>
      <c r="W86" s="69"/>
      <c r="X86" s="69"/>
      <c r="Y86" s="69"/>
      <c r="Z86" s="69"/>
      <c r="AA86" s="69"/>
      <c r="AB86" s="70"/>
      <c r="AC86" s="69"/>
      <c r="AD86" s="69"/>
      <c r="AE86" s="71"/>
      <c r="AF86" s="69"/>
    </row>
    <row r="87" s="3" customFormat="1" ht="15" customHeight="1" spans="1:46">
      <c r="A87" s="60">
        <v>62</v>
      </c>
      <c r="B87" s="61" t="s">
        <v>211</v>
      </c>
      <c r="C87" s="61" t="s">
        <v>212</v>
      </c>
      <c r="D87" s="61" t="s">
        <v>52</v>
      </c>
      <c r="E87" s="62">
        <v>32270</v>
      </c>
      <c r="F87" s="61">
        <v>11209</v>
      </c>
      <c r="G87" s="61" t="s">
        <v>53</v>
      </c>
      <c r="H87" s="63" t="s">
        <v>54</v>
      </c>
      <c r="I87" s="64" t="s">
        <v>53</v>
      </c>
      <c r="J87" s="63" t="s">
        <v>56</v>
      </c>
      <c r="K87" s="65" t="s">
        <v>57</v>
      </c>
      <c r="L87" s="66">
        <v>1235.83</v>
      </c>
      <c r="M87" s="67" t="s">
        <v>53</v>
      </c>
      <c r="N87" s="67" t="s">
        <v>59</v>
      </c>
      <c r="O87" s="67">
        <v>42.39</v>
      </c>
      <c r="P87" s="68" t="s">
        <v>53</v>
      </c>
      <c r="Q87" s="67" t="s">
        <v>60</v>
      </c>
      <c r="R87" s="67">
        <v>8.22</v>
      </c>
      <c r="S87" s="69" t="s">
        <v>61</v>
      </c>
      <c r="T87" s="69">
        <v>250000</v>
      </c>
      <c r="U87" s="69"/>
      <c r="V87" s="69" t="s">
        <v>62</v>
      </c>
      <c r="W87" s="69">
        <v>9167.13</v>
      </c>
      <c r="X87" s="69"/>
      <c r="Y87" s="69" t="s">
        <v>63</v>
      </c>
      <c r="Z87" s="69">
        <v>1904</v>
      </c>
      <c r="AA87" s="69"/>
      <c r="AB87" s="70"/>
      <c r="AC87" s="69" t="s">
        <v>213</v>
      </c>
      <c r="AD87" s="69"/>
      <c r="AE87" s="71">
        <v>165000</v>
      </c>
      <c r="AF87" s="69"/>
      <c r="AG87" s="3" t="str">
        <f>B87&amp;C87</f>
        <v>TiaButo</v>
      </c>
      <c r="AH87" s="3" t="str">
        <f>VLOOKUP($AG87,[1]Sheet8!$B:$G,1,0)</f>
        <v>TIABUTO</v>
      </c>
      <c r="AI87" s="3" t="str">
        <f>VLOOKUP($AG87,[1]Sheet8!$B:$G,4,0)</f>
        <v>EE</v>
      </c>
      <c r="AJ87" s="3" t="str">
        <f>VLOOKUP($AG87,[1]Sheet8!$B:$G,5,0)</f>
        <v>L093530003</v>
      </c>
      <c r="AK87" s="3">
        <f>VLOOKUP($AG87,[1]Sheet8!$B:$G,6,0)</f>
        <v>8.22</v>
      </c>
      <c r="AL87" s="3" t="s">
        <v>53</v>
      </c>
      <c r="AM87" s="3" t="s">
        <v>57</v>
      </c>
      <c r="AN87" s="3">
        <v>1235.83</v>
      </c>
      <c r="AO87" s="3" t="s">
        <v>53</v>
      </c>
      <c r="AP87" s="3" t="s">
        <v>59</v>
      </c>
      <c r="AQ87" s="3">
        <v>42.39</v>
      </c>
      <c r="AR87" s="3" t="s">
        <v>53</v>
      </c>
      <c r="AS87" s="3" t="s">
        <v>60</v>
      </c>
      <c r="AT87" s="3">
        <v>8.22</v>
      </c>
    </row>
    <row r="88" s="3" customFormat="1" ht="15" customHeight="1" spans="1:46">
      <c r="A88" s="60">
        <v>63</v>
      </c>
      <c r="B88" s="61" t="s">
        <v>132</v>
      </c>
      <c r="C88" s="61" t="s">
        <v>214</v>
      </c>
      <c r="D88" s="61" t="s">
        <v>52</v>
      </c>
      <c r="E88" s="62">
        <v>35467</v>
      </c>
      <c r="F88" s="61">
        <v>77627</v>
      </c>
      <c r="G88" s="61" t="s">
        <v>53</v>
      </c>
      <c r="H88" s="63" t="s">
        <v>54</v>
      </c>
      <c r="I88" s="64" t="s">
        <v>53</v>
      </c>
      <c r="J88" s="63" t="s">
        <v>56</v>
      </c>
      <c r="K88" s="65" t="s">
        <v>57</v>
      </c>
      <c r="L88" s="66">
        <v>1235.83</v>
      </c>
      <c r="M88" s="67" t="s">
        <v>53</v>
      </c>
      <c r="N88" s="67" t="s">
        <v>59</v>
      </c>
      <c r="O88" s="67">
        <v>42.39</v>
      </c>
      <c r="P88" s="68" t="s">
        <v>53</v>
      </c>
      <c r="Q88" s="67" t="s">
        <v>60</v>
      </c>
      <c r="R88" s="67">
        <v>8.22</v>
      </c>
      <c r="S88" s="69" t="s">
        <v>61</v>
      </c>
      <c r="T88" s="69">
        <v>142000</v>
      </c>
      <c r="U88" s="69"/>
      <c r="V88" s="69" t="s">
        <v>62</v>
      </c>
      <c r="W88" s="69">
        <v>3922.47</v>
      </c>
      <c r="X88" s="69"/>
      <c r="Y88" s="69" t="s">
        <v>63</v>
      </c>
      <c r="Z88" s="69">
        <v>815</v>
      </c>
      <c r="AA88" s="69"/>
      <c r="AB88" s="70"/>
      <c r="AC88" s="69" t="s">
        <v>201</v>
      </c>
      <c r="AD88" s="69"/>
      <c r="AE88" s="71">
        <v>77082.15</v>
      </c>
      <c r="AF88" s="69"/>
      <c r="AG88" s="3" t="str">
        <f>B88&amp;C88</f>
        <v>LaurenCamacho</v>
      </c>
      <c r="AH88" s="3" t="str">
        <f>VLOOKUP($AG88,[1]Sheet8!$B:$G,1,0)</f>
        <v>LAURENCAMACHO</v>
      </c>
      <c r="AI88" s="3" t="str">
        <f>VLOOKUP($AG88,[1]Sheet8!$B:$G,4,0)</f>
        <v>EE</v>
      </c>
      <c r="AJ88" s="3" t="str">
        <f>VLOOKUP($AG88,[1]Sheet8!$B:$G,5,0)</f>
        <v>L093530003</v>
      </c>
      <c r="AK88" s="3">
        <f>VLOOKUP($AG88,[1]Sheet8!$B:$G,6,0)</f>
        <v>8.22</v>
      </c>
      <c r="AL88" s="3" t="s">
        <v>53</v>
      </c>
      <c r="AM88" s="3" t="s">
        <v>57</v>
      </c>
      <c r="AN88" s="3">
        <v>1235.83</v>
      </c>
      <c r="AO88" s="3" t="s">
        <v>53</v>
      </c>
      <c r="AP88" s="3" t="s">
        <v>59</v>
      </c>
      <c r="AQ88" s="3">
        <v>42.39</v>
      </c>
      <c r="AR88" s="3" t="s">
        <v>53</v>
      </c>
      <c r="AS88" s="3" t="s">
        <v>60</v>
      </c>
      <c r="AT88" s="3">
        <v>8.22</v>
      </c>
    </row>
    <row r="89" s="3" customFormat="1" ht="15" customHeight="1" spans="1:46">
      <c r="A89" s="60">
        <v>64</v>
      </c>
      <c r="B89" s="61" t="s">
        <v>215</v>
      </c>
      <c r="C89" s="61" t="s">
        <v>216</v>
      </c>
      <c r="D89" s="61" t="s">
        <v>67</v>
      </c>
      <c r="E89" s="62">
        <v>26312</v>
      </c>
      <c r="F89" s="61">
        <v>84604</v>
      </c>
      <c r="G89" s="61" t="s">
        <v>53</v>
      </c>
      <c r="H89" s="63" t="s">
        <v>54</v>
      </c>
      <c r="I89" s="64" t="s">
        <v>58</v>
      </c>
      <c r="J89" s="63" t="s">
        <v>217</v>
      </c>
      <c r="K89" s="65" t="s">
        <v>218</v>
      </c>
      <c r="L89" s="66"/>
      <c r="M89" s="67"/>
      <c r="N89" s="67"/>
      <c r="O89" s="67"/>
      <c r="P89" s="68"/>
      <c r="Q89" s="67"/>
      <c r="R89" s="67"/>
      <c r="S89" s="69"/>
      <c r="T89" s="69"/>
      <c r="U89" s="69"/>
      <c r="V89" s="69"/>
      <c r="W89" s="69"/>
      <c r="X89" s="69"/>
      <c r="Y89" s="69"/>
      <c r="Z89" s="69"/>
      <c r="AA89" s="69"/>
      <c r="AB89" s="70"/>
      <c r="AC89" s="69" t="s">
        <v>219</v>
      </c>
      <c r="AD89" s="69"/>
      <c r="AE89" s="71"/>
      <c r="AF89" s="69"/>
      <c r="AG89" s="3" t="str">
        <f>B89&amp;C89</f>
        <v>DavidCarr</v>
      </c>
      <c r="AH89" s="3" t="e">
        <f>VLOOKUP($AG89,[1]Sheet8!$B:$G,1,0)</f>
        <v>#N/A</v>
      </c>
      <c r="AI89" s="3" t="e">
        <f>VLOOKUP($AG89,[1]Sheet8!$B:$G,4,0)</f>
        <v>#N/A</v>
      </c>
      <c r="AJ89" s="3" t="e">
        <f>VLOOKUP($AG89,[1]Sheet8!$B:$G,5,0)</f>
        <v>#N/A</v>
      </c>
      <c r="AK89" s="3" t="e">
        <f>VLOOKUP($AG89,[1]Sheet8!$B:$G,6,0)</f>
        <v>#N/A</v>
      </c>
    </row>
    <row r="90" s="3" customFormat="1" ht="15" customHeight="1" spans="1:46">
      <c r="A90" s="60">
        <v>65</v>
      </c>
      <c r="B90" s="61" t="s">
        <v>220</v>
      </c>
      <c r="C90" s="61" t="s">
        <v>216</v>
      </c>
      <c r="D90" s="61" t="s">
        <v>67</v>
      </c>
      <c r="E90" s="62">
        <v>38830</v>
      </c>
      <c r="F90" s="61">
        <v>84604</v>
      </c>
      <c r="G90" s="61" t="s">
        <v>68</v>
      </c>
      <c r="H90" s="63">
        <v>64</v>
      </c>
      <c r="I90" s="64" t="s">
        <v>58</v>
      </c>
      <c r="J90" s="63" t="s">
        <v>56</v>
      </c>
      <c r="K90" s="65"/>
      <c r="L90" s="66"/>
      <c r="M90" s="67"/>
      <c r="N90" s="67"/>
      <c r="O90" s="67"/>
      <c r="P90" s="68"/>
      <c r="Q90" s="67"/>
      <c r="R90" s="67"/>
      <c r="S90" s="69"/>
      <c r="T90" s="69"/>
      <c r="U90" s="69"/>
      <c r="V90" s="69"/>
      <c r="W90" s="69"/>
      <c r="X90" s="69"/>
      <c r="Y90" s="69"/>
      <c r="Z90" s="69"/>
      <c r="AA90" s="69"/>
      <c r="AB90" s="70"/>
      <c r="AC90" s="69"/>
      <c r="AD90" s="69"/>
      <c r="AE90" s="71"/>
      <c r="AF90" s="69"/>
    </row>
    <row r="91" s="3" customFormat="1" ht="15" customHeight="1" spans="1:46">
      <c r="A91" s="60">
        <v>66</v>
      </c>
      <c r="B91" s="61" t="s">
        <v>221</v>
      </c>
      <c r="C91" s="61" t="s">
        <v>216</v>
      </c>
      <c r="D91" s="61" t="s">
        <v>67</v>
      </c>
      <c r="E91" s="62">
        <v>37576</v>
      </c>
      <c r="F91" s="61">
        <v>84604</v>
      </c>
      <c r="G91" s="61" t="s">
        <v>68</v>
      </c>
      <c r="H91" s="63">
        <v>64</v>
      </c>
      <c r="I91" s="64" t="s">
        <v>58</v>
      </c>
      <c r="J91" s="63" t="s">
        <v>56</v>
      </c>
      <c r="K91" s="65"/>
      <c r="L91" s="66"/>
      <c r="M91" s="67"/>
      <c r="N91" s="67"/>
      <c r="O91" s="67"/>
      <c r="P91" s="68"/>
      <c r="Q91" s="67"/>
      <c r="R91" s="67"/>
      <c r="S91" s="69"/>
      <c r="T91" s="69"/>
      <c r="U91" s="69"/>
      <c r="V91" s="69"/>
      <c r="W91" s="69"/>
      <c r="X91" s="69"/>
      <c r="Y91" s="69"/>
      <c r="Z91" s="69"/>
      <c r="AA91" s="69"/>
      <c r="AB91" s="70"/>
      <c r="AC91" s="69"/>
      <c r="AD91" s="69"/>
      <c r="AE91" s="71"/>
      <c r="AF91" s="69"/>
    </row>
    <row r="92" s="3" customFormat="1" ht="15" customHeight="1" spans="1:46">
      <c r="A92" s="60">
        <v>67</v>
      </c>
      <c r="B92" s="61" t="s">
        <v>222</v>
      </c>
      <c r="C92" s="61" t="s">
        <v>216</v>
      </c>
      <c r="D92" s="61" t="s">
        <v>52</v>
      </c>
      <c r="E92" s="62">
        <v>25681</v>
      </c>
      <c r="F92" s="61">
        <v>84604</v>
      </c>
      <c r="G92" s="61" t="s">
        <v>85</v>
      </c>
      <c r="H92" s="63">
        <v>64</v>
      </c>
      <c r="I92" s="64" t="s">
        <v>58</v>
      </c>
      <c r="J92" s="63" t="s">
        <v>56</v>
      </c>
      <c r="K92" s="65"/>
      <c r="L92" s="66"/>
      <c r="M92" s="67"/>
      <c r="N92" s="67"/>
      <c r="O92" s="67"/>
      <c r="P92" s="68"/>
      <c r="Q92" s="67"/>
      <c r="R92" s="67"/>
      <c r="S92" s="69"/>
      <c r="T92" s="69"/>
      <c r="U92" s="69"/>
      <c r="V92" s="69"/>
      <c r="W92" s="69"/>
      <c r="X92" s="69"/>
      <c r="Y92" s="69"/>
      <c r="Z92" s="69"/>
      <c r="AA92" s="69"/>
      <c r="AB92" s="70"/>
      <c r="AC92" s="69"/>
      <c r="AD92" s="69"/>
      <c r="AE92" s="71"/>
      <c r="AF92" s="69"/>
    </row>
    <row r="93" s="3" customFormat="1" ht="15" customHeight="1" spans="1:46">
      <c r="A93" s="60">
        <v>68</v>
      </c>
      <c r="B93" s="61" t="s">
        <v>223</v>
      </c>
      <c r="C93" s="61" t="s">
        <v>224</v>
      </c>
      <c r="D93" s="61" t="s">
        <v>52</v>
      </c>
      <c r="E93" s="62">
        <v>31271</v>
      </c>
      <c r="F93" s="61" t="s">
        <v>225</v>
      </c>
      <c r="G93" s="61" t="s">
        <v>53</v>
      </c>
      <c r="H93" s="63" t="s">
        <v>54</v>
      </c>
      <c r="I93" s="64" t="s">
        <v>53</v>
      </c>
      <c r="J93" s="63" t="s">
        <v>56</v>
      </c>
      <c r="K93" s="65" t="s">
        <v>57</v>
      </c>
      <c r="L93" s="66">
        <v>1235.83</v>
      </c>
      <c r="M93" s="67" t="s">
        <v>53</v>
      </c>
      <c r="N93" s="67" t="s">
        <v>59</v>
      </c>
      <c r="O93" s="67">
        <v>42.39</v>
      </c>
      <c r="P93" s="68" t="s">
        <v>53</v>
      </c>
      <c r="Q93" s="67" t="s">
        <v>60</v>
      </c>
      <c r="R93" s="67">
        <v>8.22</v>
      </c>
      <c r="S93" s="69" t="s">
        <v>61</v>
      </c>
      <c r="T93" s="69">
        <v>184000</v>
      </c>
      <c r="U93" s="69"/>
      <c r="V93" s="69" t="s">
        <v>62</v>
      </c>
      <c r="W93" s="69">
        <v>5100.26</v>
      </c>
      <c r="X93" s="69"/>
      <c r="Y93" s="69" t="s">
        <v>63</v>
      </c>
      <c r="Z93" s="69">
        <v>1059</v>
      </c>
      <c r="AA93" s="69"/>
      <c r="AB93" s="70"/>
      <c r="AC93" s="69" t="s">
        <v>226</v>
      </c>
      <c r="AD93" s="69"/>
      <c r="AE93" s="71">
        <v>94325</v>
      </c>
      <c r="AF93" s="69"/>
      <c r="AG93" s="3" t="str">
        <f>B93&amp;C93</f>
        <v>ValentinaCarratta</v>
      </c>
      <c r="AH93" s="3" t="str">
        <f>VLOOKUP($AG93,[1]Sheet8!$B:$G,1,0)</f>
        <v>VALENTINACARRATTA</v>
      </c>
      <c r="AI93" s="3" t="str">
        <f>VLOOKUP($AG93,[1]Sheet8!$B:$G,4,0)</f>
        <v>EE</v>
      </c>
      <c r="AJ93" s="3" t="str">
        <f>VLOOKUP($AG93,[1]Sheet8!$B:$G,5,0)</f>
        <v>L093530003</v>
      </c>
      <c r="AK93" s="3">
        <f>VLOOKUP($AG93,[1]Sheet8!$B:$G,6,0)</f>
        <v>8.22</v>
      </c>
      <c r="AL93" s="3" t="s">
        <v>53</v>
      </c>
      <c r="AM93" s="3" t="s">
        <v>57</v>
      </c>
      <c r="AN93" s="3">
        <v>1235.83</v>
      </c>
      <c r="AO93" s="3" t="s">
        <v>53</v>
      </c>
      <c r="AP93" s="3" t="s">
        <v>59</v>
      </c>
      <c r="AQ93" s="3">
        <v>42.39</v>
      </c>
      <c r="AR93" s="3" t="s">
        <v>53</v>
      </c>
      <c r="AS93" s="3" t="s">
        <v>60</v>
      </c>
      <c r="AT93" s="3">
        <v>8.22</v>
      </c>
    </row>
    <row r="94" s="3" customFormat="1" ht="15" customHeight="1" spans="1:46">
      <c r="A94" s="60">
        <v>69</v>
      </c>
      <c r="B94" s="61" t="s">
        <v>163</v>
      </c>
      <c r="C94" s="61" t="s">
        <v>227</v>
      </c>
      <c r="D94" s="61" t="s">
        <v>52</v>
      </c>
      <c r="E94" s="62">
        <v>32092</v>
      </c>
      <c r="F94" s="61">
        <v>78723</v>
      </c>
      <c r="G94" s="61" t="s">
        <v>53</v>
      </c>
      <c r="H94" s="63" t="s">
        <v>54</v>
      </c>
      <c r="I94" s="64" t="s">
        <v>81</v>
      </c>
      <c r="J94" s="63" t="s">
        <v>56</v>
      </c>
      <c r="K94" s="65" t="s">
        <v>57</v>
      </c>
      <c r="L94" s="66">
        <v>2718.81</v>
      </c>
      <c r="M94" s="67" t="s">
        <v>81</v>
      </c>
      <c r="N94" s="67" t="s">
        <v>59</v>
      </c>
      <c r="O94" s="67">
        <v>84.72</v>
      </c>
      <c r="P94" s="68" t="s">
        <v>81</v>
      </c>
      <c r="Q94" s="67" t="s">
        <v>60</v>
      </c>
      <c r="R94" s="67">
        <v>16.48</v>
      </c>
      <c r="S94" s="69" t="s">
        <v>61</v>
      </c>
      <c r="T94" s="69">
        <v>110000</v>
      </c>
      <c r="U94" s="69"/>
      <c r="V94" s="69" t="s">
        <v>62</v>
      </c>
      <c r="W94" s="69">
        <v>3055.71</v>
      </c>
      <c r="X94" s="69"/>
      <c r="Y94" s="69" t="s">
        <v>63</v>
      </c>
      <c r="Z94" s="69">
        <v>635</v>
      </c>
      <c r="AA94" s="69"/>
      <c r="AB94" s="70"/>
      <c r="AC94" s="69" t="s">
        <v>228</v>
      </c>
      <c r="AD94" s="69"/>
      <c r="AE94" s="71">
        <v>83200</v>
      </c>
      <c r="AF94" s="69"/>
      <c r="AG94" s="3" t="str">
        <f>B94&amp;C94</f>
        <v>ElizabethCarroll</v>
      </c>
      <c r="AH94" s="3" t="str">
        <f>VLOOKUP($AG94,[1]Sheet8!$B:$G,1,0)</f>
        <v>ELIZABETHCARROLL</v>
      </c>
      <c r="AI94" s="3" t="str">
        <f>VLOOKUP($AG94,[1]Sheet8!$B:$G,4,0)</f>
        <v>ES</v>
      </c>
      <c r="AJ94" s="3" t="str">
        <f>VLOOKUP($AG94,[1]Sheet8!$B:$G,5,0)</f>
        <v>L093530003</v>
      </c>
      <c r="AK94" s="3">
        <f>VLOOKUP($AG94,[1]Sheet8!$B:$G,6,0)</f>
        <v>16.48</v>
      </c>
      <c r="AL94" s="3" t="s">
        <v>81</v>
      </c>
      <c r="AM94" s="3" t="s">
        <v>57</v>
      </c>
      <c r="AN94" s="3">
        <v>2718.81</v>
      </c>
      <c r="AO94" s="3" t="s">
        <v>81</v>
      </c>
      <c r="AP94" s="3" t="s">
        <v>59</v>
      </c>
      <c r="AQ94" s="3">
        <v>84.72</v>
      </c>
      <c r="AR94" s="3" t="s">
        <v>81</v>
      </c>
      <c r="AS94" s="3" t="s">
        <v>60</v>
      </c>
      <c r="AT94" s="3">
        <v>16.48</v>
      </c>
    </row>
    <row r="95" s="3" customFormat="1" ht="15" customHeight="1" spans="1:46">
      <c r="A95" s="60">
        <v>70</v>
      </c>
      <c r="B95" s="61" t="s">
        <v>229</v>
      </c>
      <c r="C95" s="61" t="s">
        <v>227</v>
      </c>
      <c r="D95" s="61" t="s">
        <v>67</v>
      </c>
      <c r="E95" s="62">
        <v>29506</v>
      </c>
      <c r="F95" s="61">
        <v>78723</v>
      </c>
      <c r="G95" s="61" t="s">
        <v>85</v>
      </c>
      <c r="H95" s="63">
        <v>69</v>
      </c>
      <c r="I95" s="64" t="s">
        <v>81</v>
      </c>
      <c r="J95" s="63" t="s">
        <v>56</v>
      </c>
      <c r="K95" s="65"/>
      <c r="L95" s="66"/>
      <c r="M95" s="67"/>
      <c r="N95" s="67"/>
      <c r="O95" s="67"/>
      <c r="P95" s="68"/>
      <c r="Q95" s="67"/>
      <c r="R95" s="67"/>
      <c r="S95" s="69"/>
      <c r="T95" s="69"/>
      <c r="U95" s="69"/>
      <c r="V95" s="69"/>
      <c r="W95" s="69"/>
      <c r="X95" s="69"/>
      <c r="Y95" s="69"/>
      <c r="Z95" s="69"/>
      <c r="AA95" s="69"/>
      <c r="AB95" s="70"/>
      <c r="AC95" s="69"/>
      <c r="AD95" s="69"/>
      <c r="AE95" s="71"/>
      <c r="AF95" s="69"/>
    </row>
    <row r="96" s="3" customFormat="1" ht="15" customHeight="1" spans="1:46">
      <c r="A96" s="60">
        <v>71</v>
      </c>
      <c r="B96" s="61" t="s">
        <v>230</v>
      </c>
      <c r="C96" s="61" t="s">
        <v>231</v>
      </c>
      <c r="D96" s="61" t="s">
        <v>52</v>
      </c>
      <c r="E96" s="62">
        <v>20618</v>
      </c>
      <c r="F96" s="61" t="s">
        <v>232</v>
      </c>
      <c r="G96" s="61" t="s">
        <v>53</v>
      </c>
      <c r="H96" s="63" t="s">
        <v>54</v>
      </c>
      <c r="I96" s="64" t="s">
        <v>81</v>
      </c>
      <c r="J96" s="63" t="s">
        <v>56</v>
      </c>
      <c r="K96" s="65" t="s">
        <v>57</v>
      </c>
      <c r="L96" s="66">
        <v>2718.81</v>
      </c>
      <c r="M96" s="67" t="s">
        <v>81</v>
      </c>
      <c r="N96" s="67" t="s">
        <v>59</v>
      </c>
      <c r="O96" s="67">
        <v>84.72</v>
      </c>
      <c r="P96" s="68" t="s">
        <v>81</v>
      </c>
      <c r="Q96" s="67" t="s">
        <v>60</v>
      </c>
      <c r="R96" s="67">
        <v>16.48</v>
      </c>
      <c r="S96" s="69" t="s">
        <v>61</v>
      </c>
      <c r="T96" s="69">
        <v>162500</v>
      </c>
      <c r="U96" s="69"/>
      <c r="V96" s="69" t="s">
        <v>62</v>
      </c>
      <c r="W96" s="69">
        <v>10000</v>
      </c>
      <c r="X96" s="69"/>
      <c r="Y96" s="69" t="s">
        <v>63</v>
      </c>
      <c r="Z96" s="69">
        <v>2000</v>
      </c>
      <c r="AA96" s="69"/>
      <c r="AB96" s="70"/>
      <c r="AC96" s="69" t="s">
        <v>233</v>
      </c>
      <c r="AD96" s="69"/>
      <c r="AE96" s="71">
        <v>370345</v>
      </c>
      <c r="AF96" s="69"/>
      <c r="AG96" s="3" t="str">
        <f>B96&amp;C96</f>
        <v>LisaCarter</v>
      </c>
      <c r="AH96" s="3" t="str">
        <f>VLOOKUP($AG96,[1]Sheet8!$B:$G,1,0)</f>
        <v>LISACARTER</v>
      </c>
      <c r="AI96" s="3" t="str">
        <f>VLOOKUP($AG96,[1]Sheet8!$B:$G,4,0)</f>
        <v>ES</v>
      </c>
      <c r="AJ96" s="3" t="str">
        <f>VLOOKUP($AG96,[1]Sheet8!$B:$G,5,0)</f>
        <v>L093530003</v>
      </c>
      <c r="AK96" s="3">
        <f>VLOOKUP($AG96,[1]Sheet8!$B:$G,6,0)</f>
        <v>16.48</v>
      </c>
      <c r="AL96" s="3" t="s">
        <v>81</v>
      </c>
      <c r="AM96" s="3" t="s">
        <v>57</v>
      </c>
      <c r="AN96" s="3">
        <v>2718.81</v>
      </c>
      <c r="AO96" s="3" t="s">
        <v>81</v>
      </c>
      <c r="AP96" s="3" t="s">
        <v>59</v>
      </c>
      <c r="AQ96" s="3">
        <v>84.72</v>
      </c>
      <c r="AR96" s="3" t="s">
        <v>81</v>
      </c>
      <c r="AS96" s="3" t="s">
        <v>60</v>
      </c>
      <c r="AT96" s="3">
        <v>16.48</v>
      </c>
    </row>
    <row r="97" s="3" customFormat="1" ht="15" customHeight="1" spans="1:46">
      <c r="A97" s="60">
        <v>72</v>
      </c>
      <c r="B97" s="61" t="s">
        <v>234</v>
      </c>
      <c r="C97" s="61" t="s">
        <v>235</v>
      </c>
      <c r="D97" s="61" t="s">
        <v>67</v>
      </c>
      <c r="E97" s="62">
        <v>19230</v>
      </c>
      <c r="F97" s="61" t="s">
        <v>232</v>
      </c>
      <c r="G97" s="61" t="s">
        <v>85</v>
      </c>
      <c r="H97" s="63">
        <v>71</v>
      </c>
      <c r="I97" s="64" t="s">
        <v>81</v>
      </c>
      <c r="J97" s="63" t="s">
        <v>56</v>
      </c>
      <c r="K97" s="65"/>
      <c r="L97" s="66"/>
      <c r="M97" s="67"/>
      <c r="N97" s="67"/>
      <c r="O97" s="67"/>
      <c r="P97" s="68"/>
      <c r="Q97" s="67"/>
      <c r="R97" s="67"/>
      <c r="S97" s="69"/>
      <c r="T97" s="69"/>
      <c r="U97" s="69"/>
      <c r="V97" s="69"/>
      <c r="W97" s="69"/>
      <c r="X97" s="69"/>
      <c r="Y97" s="69"/>
      <c r="Z97" s="69"/>
      <c r="AA97" s="69"/>
      <c r="AB97" s="70"/>
      <c r="AC97" s="69"/>
      <c r="AD97" s="69"/>
      <c r="AE97" s="71"/>
      <c r="AF97" s="69"/>
    </row>
    <row r="98" s="3" customFormat="1" ht="15" customHeight="1" spans="1:46">
      <c r="A98" s="60">
        <v>73</v>
      </c>
      <c r="B98" s="61" t="s">
        <v>236</v>
      </c>
      <c r="C98" s="61" t="s">
        <v>237</v>
      </c>
      <c r="D98" s="61" t="s">
        <v>52</v>
      </c>
      <c r="E98" s="62">
        <v>32877</v>
      </c>
      <c r="F98" s="61">
        <v>98682</v>
      </c>
      <c r="G98" s="61" t="s">
        <v>53</v>
      </c>
      <c r="H98" s="63" t="s">
        <v>54</v>
      </c>
      <c r="I98" s="64" t="s">
        <v>53</v>
      </c>
      <c r="J98" s="63" t="s">
        <v>56</v>
      </c>
      <c r="K98" s="65" t="s">
        <v>57</v>
      </c>
      <c r="L98" s="66">
        <v>1235.83</v>
      </c>
      <c r="M98" s="67" t="s">
        <v>53</v>
      </c>
      <c r="N98" s="67" t="s">
        <v>59</v>
      </c>
      <c r="O98" s="67">
        <v>42.39</v>
      </c>
      <c r="P98" s="68" t="s">
        <v>53</v>
      </c>
      <c r="Q98" s="67" t="s">
        <v>60</v>
      </c>
      <c r="R98" s="67">
        <v>8.22</v>
      </c>
      <c r="S98" s="69" t="s">
        <v>61</v>
      </c>
      <c r="T98" s="69">
        <v>250000</v>
      </c>
      <c r="U98" s="69"/>
      <c r="V98" s="69" t="s">
        <v>62</v>
      </c>
      <c r="W98" s="69">
        <v>8963.17</v>
      </c>
      <c r="X98" s="69"/>
      <c r="Y98" s="69" t="s">
        <v>63</v>
      </c>
      <c r="Z98" s="69">
        <v>1861</v>
      </c>
      <c r="AA98" s="69"/>
      <c r="AB98" s="70"/>
      <c r="AC98" s="69" t="s">
        <v>95</v>
      </c>
      <c r="AD98" s="69"/>
      <c r="AE98" s="71">
        <v>167782</v>
      </c>
      <c r="AF98" s="69"/>
      <c r="AG98" s="3" t="str">
        <f>B98&amp;C98</f>
        <v>KaitlenCassell</v>
      </c>
      <c r="AH98" s="3" t="str">
        <f>VLOOKUP($AG98,[1]Sheet8!$B:$G,1,0)</f>
        <v>KAITLENCASSELL</v>
      </c>
      <c r="AI98" s="3" t="str">
        <f>VLOOKUP($AG98,[1]Sheet8!$B:$G,4,0)</f>
        <v>EE</v>
      </c>
      <c r="AJ98" s="3" t="str">
        <f>VLOOKUP($AG98,[1]Sheet8!$B:$G,5,0)</f>
        <v>L093530003</v>
      </c>
      <c r="AK98" s="3">
        <f>VLOOKUP($AG98,[1]Sheet8!$B:$G,6,0)</f>
        <v>8.22</v>
      </c>
      <c r="AL98" s="3" t="s">
        <v>53</v>
      </c>
      <c r="AM98" s="3" t="s">
        <v>57</v>
      </c>
      <c r="AN98" s="3">
        <v>1235.83</v>
      </c>
      <c r="AO98" s="3" t="s">
        <v>53</v>
      </c>
      <c r="AP98" s="3" t="s">
        <v>59</v>
      </c>
      <c r="AQ98" s="3">
        <v>42.39</v>
      </c>
      <c r="AR98" s="3" t="s">
        <v>53</v>
      </c>
      <c r="AS98" s="3" t="s">
        <v>60</v>
      </c>
      <c r="AT98" s="3">
        <v>8.22</v>
      </c>
    </row>
    <row r="99" s="3" customFormat="1" ht="15" customHeight="1" spans="1:46">
      <c r="A99" s="60">
        <v>74</v>
      </c>
      <c r="B99" s="61" t="s">
        <v>238</v>
      </c>
      <c r="C99" s="61" t="s">
        <v>239</v>
      </c>
      <c r="D99" s="61" t="s">
        <v>67</v>
      </c>
      <c r="E99" s="62">
        <v>34445</v>
      </c>
      <c r="F99" s="61">
        <v>60637</v>
      </c>
      <c r="G99" s="61" t="s">
        <v>53</v>
      </c>
      <c r="H99" s="63" t="s">
        <v>54</v>
      </c>
      <c r="I99" s="64" t="s">
        <v>53</v>
      </c>
      <c r="J99" s="63" t="s">
        <v>56</v>
      </c>
      <c r="K99" s="65" t="s">
        <v>57</v>
      </c>
      <c r="L99" s="66">
        <v>1235.83</v>
      </c>
      <c r="M99" s="67" t="s">
        <v>53</v>
      </c>
      <c r="N99" s="67" t="s">
        <v>59</v>
      </c>
      <c r="O99" s="67">
        <v>42.39</v>
      </c>
      <c r="P99" s="68" t="s">
        <v>53</v>
      </c>
      <c r="Q99" s="67" t="s">
        <v>60</v>
      </c>
      <c r="R99" s="67">
        <v>8.22</v>
      </c>
      <c r="S99" s="69" t="s">
        <v>61</v>
      </c>
      <c r="T99" s="69">
        <v>180000</v>
      </c>
      <c r="U99" s="69"/>
      <c r="V99" s="69" t="s">
        <v>62</v>
      </c>
      <c r="W99" s="69">
        <v>5000.25</v>
      </c>
      <c r="X99" s="69"/>
      <c r="Y99" s="69" t="s">
        <v>63</v>
      </c>
      <c r="Z99" s="69">
        <v>1038</v>
      </c>
      <c r="AA99" s="69"/>
      <c r="AB99" s="70"/>
      <c r="AC99" s="69" t="s">
        <v>144</v>
      </c>
      <c r="AD99" s="69"/>
      <c r="AE99" s="71">
        <v>90000</v>
      </c>
      <c r="AF99" s="69"/>
      <c r="AG99" s="3" t="str">
        <f>B99&amp;C99</f>
        <v>LautaroCella</v>
      </c>
      <c r="AH99" s="3" t="str">
        <f>VLOOKUP($AG99,[1]Sheet8!$B:$G,1,0)</f>
        <v>LAUTAROCELLA</v>
      </c>
      <c r="AI99" s="3" t="str">
        <f>VLOOKUP($AG99,[1]Sheet8!$B:$G,4,0)</f>
        <v>EE</v>
      </c>
      <c r="AJ99" s="3" t="str">
        <f>VLOOKUP($AG99,[1]Sheet8!$B:$G,5,0)</f>
        <v>L093530003</v>
      </c>
      <c r="AK99" s="3">
        <f>VLOOKUP($AG99,[1]Sheet8!$B:$G,6,0)</f>
        <v>8.22</v>
      </c>
      <c r="AL99" s="3" t="s">
        <v>53</v>
      </c>
      <c r="AM99" s="3" t="s">
        <v>57</v>
      </c>
      <c r="AN99" s="3">
        <v>1235.83</v>
      </c>
      <c r="AO99" s="3" t="s">
        <v>53</v>
      </c>
      <c r="AP99" s="3" t="s">
        <v>59</v>
      </c>
      <c r="AQ99" s="3">
        <v>42.39</v>
      </c>
      <c r="AR99" s="3" t="s">
        <v>53</v>
      </c>
      <c r="AS99" s="3" t="s">
        <v>60</v>
      </c>
      <c r="AT99" s="3">
        <v>8.22</v>
      </c>
    </row>
    <row r="100" s="3" customFormat="1" ht="15" customHeight="1" spans="1:46">
      <c r="A100" s="60">
        <v>75</v>
      </c>
      <c r="B100" s="61" t="s">
        <v>240</v>
      </c>
      <c r="C100" s="61" t="s">
        <v>241</v>
      </c>
      <c r="D100" s="61" t="s">
        <v>67</v>
      </c>
      <c r="E100" s="62">
        <v>36527</v>
      </c>
      <c r="F100" s="61">
        <v>92110</v>
      </c>
      <c r="G100" s="61" t="s">
        <v>53</v>
      </c>
      <c r="H100" s="63" t="s">
        <v>54</v>
      </c>
      <c r="I100" s="64" t="s">
        <v>53</v>
      </c>
      <c r="J100" s="63" t="s">
        <v>56</v>
      </c>
      <c r="K100" s="65" t="s">
        <v>82</v>
      </c>
      <c r="L100" s="66">
        <v>781.79</v>
      </c>
      <c r="M100" s="67" t="s">
        <v>53</v>
      </c>
      <c r="N100" s="67" t="s">
        <v>59</v>
      </c>
      <c r="O100" s="67">
        <v>42.39</v>
      </c>
      <c r="P100" s="68" t="s">
        <v>53</v>
      </c>
      <c r="Q100" s="67" t="s">
        <v>60</v>
      </c>
      <c r="R100" s="67">
        <v>8.22</v>
      </c>
      <c r="S100" s="69" t="s">
        <v>61</v>
      </c>
      <c r="T100" s="69">
        <v>138000</v>
      </c>
      <c r="U100" s="69"/>
      <c r="V100" s="69" t="s">
        <v>62</v>
      </c>
      <c r="W100" s="69">
        <v>3813.52</v>
      </c>
      <c r="X100" s="69"/>
      <c r="Y100" s="69" t="s">
        <v>63</v>
      </c>
      <c r="Z100" s="69">
        <v>792</v>
      </c>
      <c r="AA100" s="69"/>
      <c r="AB100" s="70"/>
      <c r="AC100" s="69" t="s">
        <v>138</v>
      </c>
      <c r="AD100" s="69"/>
      <c r="AE100" s="71">
        <v>68640</v>
      </c>
      <c r="AF100" s="69"/>
      <c r="AG100" s="3" t="str">
        <f>B100&amp;C100</f>
        <v>JacobsCervantes</v>
      </c>
      <c r="AH100" s="3" t="str">
        <f>VLOOKUP($AG100,[1]Sheet8!$B:$G,1,0)</f>
        <v>JACOBSCERVANTES</v>
      </c>
      <c r="AI100" s="3" t="str">
        <f>VLOOKUP($AG100,[1]Sheet8!$B:$G,4,0)</f>
        <v>EE</v>
      </c>
      <c r="AJ100" s="3" t="str">
        <f>VLOOKUP($AG100,[1]Sheet8!$B:$G,5,0)</f>
        <v>L093530003</v>
      </c>
      <c r="AK100" s="3">
        <f>VLOOKUP($AG100,[1]Sheet8!$B:$G,6,0)</f>
        <v>8.22</v>
      </c>
      <c r="AL100" s="3" t="s">
        <v>53</v>
      </c>
      <c r="AM100" s="3" t="s">
        <v>82</v>
      </c>
      <c r="AN100" s="3">
        <v>781.79</v>
      </c>
      <c r="AO100" s="3" t="s">
        <v>53</v>
      </c>
      <c r="AP100" s="3" t="s">
        <v>59</v>
      </c>
      <c r="AQ100" s="3">
        <v>42.39</v>
      </c>
      <c r="AR100" s="3" t="s">
        <v>53</v>
      </c>
      <c r="AS100" s="3" t="s">
        <v>60</v>
      </c>
      <c r="AT100" s="3">
        <v>8.22</v>
      </c>
    </row>
    <row r="101" s="3" customFormat="1" ht="15" customHeight="1" spans="1:46">
      <c r="A101" s="60">
        <v>76</v>
      </c>
      <c r="B101" s="61" t="s">
        <v>215</v>
      </c>
      <c r="C101" s="61" t="s">
        <v>242</v>
      </c>
      <c r="D101" s="61" t="s">
        <v>67</v>
      </c>
      <c r="E101" s="62">
        <v>34046</v>
      </c>
      <c r="F101" s="61">
        <v>28117</v>
      </c>
      <c r="G101" s="61" t="s">
        <v>53</v>
      </c>
      <c r="H101" s="63" t="s">
        <v>54</v>
      </c>
      <c r="I101" s="64" t="s">
        <v>58</v>
      </c>
      <c r="J101" s="63" t="s">
        <v>56</v>
      </c>
      <c r="K101" s="65" t="s">
        <v>82</v>
      </c>
      <c r="L101" s="66">
        <v>2423.56</v>
      </c>
      <c r="M101" s="67" t="s">
        <v>58</v>
      </c>
      <c r="N101" s="67" t="s">
        <v>59</v>
      </c>
      <c r="O101" s="67">
        <v>147.1</v>
      </c>
      <c r="P101" s="68" t="s">
        <v>81</v>
      </c>
      <c r="Q101" s="67" t="s">
        <v>60</v>
      </c>
      <c r="R101" s="67">
        <v>16.48</v>
      </c>
      <c r="S101" s="69" t="s">
        <v>61</v>
      </c>
      <c r="T101" s="69">
        <v>250000</v>
      </c>
      <c r="U101" s="69"/>
      <c r="V101" s="69" t="s">
        <v>62</v>
      </c>
      <c r="W101" s="69">
        <v>8611.54</v>
      </c>
      <c r="X101" s="69"/>
      <c r="Y101" s="69" t="s">
        <v>63</v>
      </c>
      <c r="Z101" s="69">
        <v>1788</v>
      </c>
      <c r="AA101" s="69"/>
      <c r="AB101" s="70"/>
      <c r="AC101" s="69" t="s">
        <v>243</v>
      </c>
      <c r="AD101" s="69"/>
      <c r="AE101" s="71">
        <v>160425</v>
      </c>
      <c r="AF101" s="69"/>
      <c r="AG101" s="3" t="str">
        <f>B101&amp;C101</f>
        <v>DavidChadwick</v>
      </c>
      <c r="AH101" s="3" t="str">
        <f>VLOOKUP($AG101,[1]Sheet8!$B:$G,1,0)</f>
        <v>DAVIDCHADWICK</v>
      </c>
      <c r="AI101" s="3" t="str">
        <f>VLOOKUP($AG101,[1]Sheet8!$B:$G,4,0)</f>
        <v>ES</v>
      </c>
      <c r="AJ101" s="3" t="str">
        <f>VLOOKUP($AG101,[1]Sheet8!$B:$G,5,0)</f>
        <v>L093530003</v>
      </c>
      <c r="AK101" s="3">
        <f>VLOOKUP($AG101,[1]Sheet8!$B:$G,6,0)</f>
        <v>16.48</v>
      </c>
      <c r="AL101" s="3" t="s">
        <v>58</v>
      </c>
      <c r="AM101" s="3" t="s">
        <v>82</v>
      </c>
      <c r="AN101" s="3">
        <v>2423.56</v>
      </c>
      <c r="AO101" s="3" t="s">
        <v>58</v>
      </c>
      <c r="AP101" s="3" t="s">
        <v>59</v>
      </c>
      <c r="AQ101" s="3">
        <v>147.1</v>
      </c>
      <c r="AR101" s="3" t="s">
        <v>81</v>
      </c>
      <c r="AS101" s="3" t="s">
        <v>60</v>
      </c>
      <c r="AT101" s="3">
        <v>16.48</v>
      </c>
    </row>
    <row r="102" s="3" customFormat="1" ht="15" customHeight="1" spans="1:46">
      <c r="A102" s="60">
        <v>77</v>
      </c>
      <c r="B102" s="61" t="s">
        <v>244</v>
      </c>
      <c r="C102" s="61" t="s">
        <v>242</v>
      </c>
      <c r="D102" s="61" t="s">
        <v>52</v>
      </c>
      <c r="E102" s="62">
        <v>45786</v>
      </c>
      <c r="F102" s="61">
        <v>28117</v>
      </c>
      <c r="G102" s="61" t="s">
        <v>68</v>
      </c>
      <c r="H102" s="63">
        <v>76</v>
      </c>
      <c r="I102" s="64" t="s">
        <v>58</v>
      </c>
      <c r="J102" s="63" t="s">
        <v>56</v>
      </c>
      <c r="K102" s="65"/>
      <c r="L102" s="66"/>
      <c r="M102" s="67"/>
      <c r="N102" s="67"/>
      <c r="O102" s="67"/>
      <c r="P102" s="68"/>
      <c r="Q102" s="67"/>
      <c r="R102" s="67"/>
      <c r="S102" s="69"/>
      <c r="T102" s="69"/>
      <c r="U102" s="69"/>
      <c r="V102" s="69"/>
      <c r="W102" s="69"/>
      <c r="X102" s="69"/>
      <c r="Y102" s="69"/>
      <c r="Z102" s="69"/>
      <c r="AA102" s="69"/>
      <c r="AB102" s="70"/>
      <c r="AC102" s="69"/>
      <c r="AD102" s="69"/>
      <c r="AE102" s="71"/>
      <c r="AF102" s="69"/>
    </row>
    <row r="103" s="3" customFormat="1" ht="15" customHeight="1" spans="1:46">
      <c r="A103" s="60">
        <v>78</v>
      </c>
      <c r="B103" s="61" t="s">
        <v>186</v>
      </c>
      <c r="C103" s="61" t="s">
        <v>242</v>
      </c>
      <c r="D103" s="61" t="s">
        <v>52</v>
      </c>
      <c r="E103" s="62">
        <v>34124</v>
      </c>
      <c r="F103" s="61">
        <v>28117</v>
      </c>
      <c r="G103" s="61" t="s">
        <v>85</v>
      </c>
      <c r="H103" s="63">
        <v>76</v>
      </c>
      <c r="I103" s="64" t="s">
        <v>58</v>
      </c>
      <c r="J103" s="63" t="s">
        <v>56</v>
      </c>
      <c r="K103" s="65"/>
      <c r="L103" s="66"/>
      <c r="M103" s="67"/>
      <c r="N103" s="67"/>
      <c r="O103" s="67"/>
      <c r="P103" s="68"/>
      <c r="Q103" s="67"/>
      <c r="R103" s="67"/>
      <c r="S103" s="69"/>
      <c r="T103" s="69"/>
      <c r="U103" s="69"/>
      <c r="V103" s="69"/>
      <c r="W103" s="69"/>
      <c r="X103" s="69"/>
      <c r="Y103" s="69"/>
      <c r="Z103" s="69"/>
      <c r="AA103" s="69"/>
      <c r="AB103" s="70"/>
      <c r="AC103" s="69"/>
      <c r="AD103" s="69"/>
      <c r="AE103" s="71"/>
      <c r="AF103" s="69"/>
    </row>
    <row r="104" s="3" customFormat="1" ht="15" customHeight="1" spans="1:46">
      <c r="A104" s="60">
        <v>79</v>
      </c>
      <c r="B104" s="61" t="s">
        <v>245</v>
      </c>
      <c r="C104" s="61" t="s">
        <v>246</v>
      </c>
      <c r="D104" s="61" t="s">
        <v>67</v>
      </c>
      <c r="E104" s="62">
        <v>36372</v>
      </c>
      <c r="F104" s="61">
        <v>94544</v>
      </c>
      <c r="G104" s="61" t="s">
        <v>53</v>
      </c>
      <c r="H104" s="63" t="s">
        <v>54</v>
      </c>
      <c r="I104" s="64" t="s">
        <v>53</v>
      </c>
      <c r="J104" s="63" t="s">
        <v>56</v>
      </c>
      <c r="K104" s="65" t="s">
        <v>57</v>
      </c>
      <c r="L104" s="66">
        <v>1235.83</v>
      </c>
      <c r="M104" s="67" t="s">
        <v>53</v>
      </c>
      <c r="N104" s="67" t="s">
        <v>59</v>
      </c>
      <c r="O104" s="67">
        <v>42.39</v>
      </c>
      <c r="P104" s="68" t="s">
        <v>53</v>
      </c>
      <c r="Q104" s="67" t="s">
        <v>60</v>
      </c>
      <c r="R104" s="67">
        <v>8.22</v>
      </c>
      <c r="S104" s="69" t="s">
        <v>61</v>
      </c>
      <c r="T104" s="69">
        <v>138000</v>
      </c>
      <c r="U104" s="69"/>
      <c r="V104" s="69" t="s">
        <v>62</v>
      </c>
      <c r="W104" s="69">
        <v>3813.52</v>
      </c>
      <c r="X104" s="69"/>
      <c r="Y104" s="69" t="s">
        <v>63</v>
      </c>
      <c r="Z104" s="69">
        <v>792</v>
      </c>
      <c r="AA104" s="69"/>
      <c r="AB104" s="70"/>
      <c r="AC104" s="69" t="s">
        <v>138</v>
      </c>
      <c r="AD104" s="69"/>
      <c r="AE104" s="71">
        <v>68640</v>
      </c>
      <c r="AF104" s="69"/>
      <c r="AG104" s="3" t="str">
        <f>B104&amp;C104</f>
        <v>SergeChavez</v>
      </c>
      <c r="AH104" s="3" t="str">
        <f>VLOOKUP($AG104,[1]Sheet8!$B:$G,1,0)</f>
        <v>SERGECHAVEZ</v>
      </c>
      <c r="AI104" s="3" t="str">
        <f>VLOOKUP($AG104,[1]Sheet8!$B:$G,4,0)</f>
        <v>EE</v>
      </c>
      <c r="AJ104" s="3" t="str">
        <f>VLOOKUP($AG104,[1]Sheet8!$B:$G,5,0)</f>
        <v>L093530003</v>
      </c>
      <c r="AK104" s="3">
        <f>VLOOKUP($AG104,[1]Sheet8!$B:$G,6,0)</f>
        <v>8.22</v>
      </c>
      <c r="AL104" s="3" t="s">
        <v>53</v>
      </c>
      <c r="AM104" s="3" t="s">
        <v>57</v>
      </c>
      <c r="AN104" s="3">
        <v>1235.83</v>
      </c>
      <c r="AO104" s="3" t="s">
        <v>53</v>
      </c>
      <c r="AP104" s="3" t="s">
        <v>59</v>
      </c>
      <c r="AQ104" s="3">
        <v>42.39</v>
      </c>
      <c r="AR104" s="3" t="s">
        <v>53</v>
      </c>
      <c r="AS104" s="3" t="s">
        <v>60</v>
      </c>
      <c r="AT104" s="3">
        <v>8.22</v>
      </c>
    </row>
    <row r="105" s="3" customFormat="1" ht="15" customHeight="1" spans="1:46">
      <c r="A105" s="60">
        <v>80</v>
      </c>
      <c r="B105" s="61" t="s">
        <v>247</v>
      </c>
      <c r="C105" s="61" t="s">
        <v>248</v>
      </c>
      <c r="D105" s="61" t="s">
        <v>67</v>
      </c>
      <c r="E105" s="62">
        <v>35989</v>
      </c>
      <c r="F105" s="61">
        <v>19103</v>
      </c>
      <c r="G105" s="61" t="s">
        <v>53</v>
      </c>
      <c r="H105" s="63" t="s">
        <v>54</v>
      </c>
      <c r="I105" s="64" t="s">
        <v>53</v>
      </c>
      <c r="J105" s="63" t="s">
        <v>56</v>
      </c>
      <c r="K105" s="65" t="s">
        <v>57</v>
      </c>
      <c r="L105" s="66">
        <v>1235.83</v>
      </c>
      <c r="M105" s="67" t="s">
        <v>53</v>
      </c>
      <c r="N105" s="67" t="s">
        <v>59</v>
      </c>
      <c r="O105" s="67">
        <v>42.39</v>
      </c>
      <c r="P105" s="68" t="s">
        <v>53</v>
      </c>
      <c r="Q105" s="67" t="s">
        <v>60</v>
      </c>
      <c r="R105" s="67">
        <v>8.22</v>
      </c>
      <c r="S105" s="69" t="s">
        <v>61</v>
      </c>
      <c r="T105" s="69">
        <v>118000</v>
      </c>
      <c r="U105" s="69"/>
      <c r="V105" s="69" t="s">
        <v>62</v>
      </c>
      <c r="W105" s="69">
        <v>3258.83</v>
      </c>
      <c r="X105" s="69"/>
      <c r="Y105" s="69" t="s">
        <v>63</v>
      </c>
      <c r="Z105" s="69">
        <v>677</v>
      </c>
      <c r="AA105" s="69"/>
      <c r="AB105" s="70"/>
      <c r="AC105" s="69" t="s">
        <v>120</v>
      </c>
      <c r="AD105" s="69"/>
      <c r="AE105" s="71">
        <v>59536</v>
      </c>
      <c r="AF105" s="69"/>
      <c r="AG105" s="3" t="str">
        <f>B105&amp;C105</f>
        <v>MikyhialClarke</v>
      </c>
      <c r="AH105" s="3" t="str">
        <f>VLOOKUP($AG105,[1]Sheet8!$B:$G,1,0)</f>
        <v>MIKYHIALCLARKE</v>
      </c>
      <c r="AI105" s="3" t="str">
        <f>VLOOKUP($AG105,[1]Sheet8!$B:$G,4,0)</f>
        <v>EE</v>
      </c>
      <c r="AJ105" s="3" t="str">
        <f>VLOOKUP($AG105,[1]Sheet8!$B:$G,5,0)</f>
        <v>L093530003</v>
      </c>
      <c r="AK105" s="3">
        <f>VLOOKUP($AG105,[1]Sheet8!$B:$G,6,0)</f>
        <v>8.22</v>
      </c>
      <c r="AL105" s="3" t="s">
        <v>53</v>
      </c>
      <c r="AM105" s="3" t="s">
        <v>57</v>
      </c>
      <c r="AN105" s="3">
        <v>1235.83</v>
      </c>
      <c r="AO105" s="3" t="s">
        <v>53</v>
      </c>
      <c r="AP105" s="3" t="s">
        <v>59</v>
      </c>
      <c r="AQ105" s="3">
        <v>42.39</v>
      </c>
      <c r="AR105" s="3" t="s">
        <v>53</v>
      </c>
      <c r="AS105" s="3" t="s">
        <v>60</v>
      </c>
      <c r="AT105" s="3">
        <v>8.22</v>
      </c>
    </row>
    <row r="106" s="3" customFormat="1" ht="15" customHeight="1" spans="1:46">
      <c r="A106" s="60">
        <v>81</v>
      </c>
      <c r="B106" s="61" t="s">
        <v>249</v>
      </c>
      <c r="C106" s="61" t="s">
        <v>250</v>
      </c>
      <c r="D106" s="61" t="s">
        <v>52</v>
      </c>
      <c r="E106" s="62">
        <v>23551</v>
      </c>
      <c r="F106" s="61">
        <v>53406</v>
      </c>
      <c r="G106" s="61" t="s">
        <v>53</v>
      </c>
      <c r="H106" s="63" t="s">
        <v>54</v>
      </c>
      <c r="I106" s="64" t="s">
        <v>81</v>
      </c>
      <c r="J106" s="63" t="s">
        <v>56</v>
      </c>
      <c r="K106" s="65" t="s">
        <v>57</v>
      </c>
      <c r="L106" s="66">
        <v>2718.81</v>
      </c>
      <c r="M106" s="67" t="s">
        <v>81</v>
      </c>
      <c r="N106" s="67" t="s">
        <v>59</v>
      </c>
      <c r="O106" s="67">
        <v>84.72</v>
      </c>
      <c r="P106" s="68" t="s">
        <v>81</v>
      </c>
      <c r="Q106" s="67" t="s">
        <v>60</v>
      </c>
      <c r="R106" s="67">
        <v>16.48</v>
      </c>
      <c r="S106" s="69" t="s">
        <v>61</v>
      </c>
      <c r="T106" s="69">
        <v>250000</v>
      </c>
      <c r="U106" s="69"/>
      <c r="V106" s="69" t="s">
        <v>62</v>
      </c>
      <c r="W106" s="69">
        <v>7369.48</v>
      </c>
      <c r="X106" s="69"/>
      <c r="Y106" s="69" t="s">
        <v>63</v>
      </c>
      <c r="Z106" s="69">
        <v>1531</v>
      </c>
      <c r="AA106" s="69"/>
      <c r="AB106" s="70"/>
      <c r="AC106" s="69" t="s">
        <v>98</v>
      </c>
      <c r="AD106" s="69"/>
      <c r="AE106" s="71">
        <v>135961</v>
      </c>
      <c r="AF106" s="69"/>
      <c r="AG106" s="3" t="str">
        <f>B106&amp;C106</f>
        <v>LauraCleary</v>
      </c>
      <c r="AH106" s="3" t="str">
        <f>VLOOKUP($AG106,[1]Sheet8!$B:$G,1,0)</f>
        <v>LAURACLEARY</v>
      </c>
      <c r="AI106" s="3" t="str">
        <f>VLOOKUP($AG106,[1]Sheet8!$B:$G,4,0)</f>
        <v>ES</v>
      </c>
      <c r="AJ106" s="3" t="str">
        <f>VLOOKUP($AG106,[1]Sheet8!$B:$G,5,0)</f>
        <v>L093530003</v>
      </c>
      <c r="AK106" s="3">
        <f>VLOOKUP($AG106,[1]Sheet8!$B:$G,6,0)</f>
        <v>16.48</v>
      </c>
      <c r="AL106" s="3" t="s">
        <v>81</v>
      </c>
      <c r="AM106" s="3" t="s">
        <v>57</v>
      </c>
      <c r="AN106" s="3">
        <v>2718.81</v>
      </c>
      <c r="AO106" s="3" t="s">
        <v>81</v>
      </c>
      <c r="AP106" s="3" t="s">
        <v>59</v>
      </c>
      <c r="AQ106" s="3">
        <v>84.72</v>
      </c>
      <c r="AR106" s="3" t="s">
        <v>81</v>
      </c>
      <c r="AS106" s="3" t="s">
        <v>60</v>
      </c>
      <c r="AT106" s="3">
        <v>16.48</v>
      </c>
    </row>
    <row r="107" s="3" customFormat="1" ht="15" customHeight="1" spans="1:46">
      <c r="A107" s="60">
        <v>82</v>
      </c>
      <c r="B107" s="61" t="s">
        <v>251</v>
      </c>
      <c r="C107" s="61" t="s">
        <v>250</v>
      </c>
      <c r="D107" s="61" t="s">
        <v>67</v>
      </c>
      <c r="E107" s="62">
        <v>21162</v>
      </c>
      <c r="F107" s="61">
        <v>53406</v>
      </c>
      <c r="G107" s="61" t="s">
        <v>85</v>
      </c>
      <c r="H107" s="63">
        <v>81</v>
      </c>
      <c r="I107" s="64" t="s">
        <v>81</v>
      </c>
      <c r="J107" s="63" t="s">
        <v>56</v>
      </c>
      <c r="K107" s="65"/>
      <c r="L107" s="66"/>
      <c r="M107" s="67"/>
      <c r="N107" s="67"/>
      <c r="O107" s="67"/>
      <c r="P107" s="68"/>
      <c r="Q107" s="67"/>
      <c r="R107" s="67"/>
      <c r="S107" s="69"/>
      <c r="T107" s="69"/>
      <c r="U107" s="69"/>
      <c r="V107" s="69"/>
      <c r="W107" s="69"/>
      <c r="X107" s="69"/>
      <c r="Y107" s="69"/>
      <c r="Z107" s="69"/>
      <c r="AA107" s="69"/>
      <c r="AB107" s="70"/>
      <c r="AC107" s="69"/>
      <c r="AD107" s="69"/>
      <c r="AE107" s="71"/>
      <c r="AF107" s="69"/>
    </row>
    <row r="108" s="3" customFormat="1" ht="15" customHeight="1" spans="1:46">
      <c r="A108" s="60">
        <v>83</v>
      </c>
      <c r="B108" s="61" t="s">
        <v>252</v>
      </c>
      <c r="C108" s="61" t="s">
        <v>253</v>
      </c>
      <c r="D108" s="61" t="s">
        <v>67</v>
      </c>
      <c r="E108" s="62">
        <v>34047</v>
      </c>
      <c r="F108" s="61" t="s">
        <v>254</v>
      </c>
      <c r="G108" s="61" t="s">
        <v>53</v>
      </c>
      <c r="H108" s="63" t="s">
        <v>54</v>
      </c>
      <c r="I108" s="64" t="s">
        <v>53</v>
      </c>
      <c r="J108" s="63" t="s">
        <v>56</v>
      </c>
      <c r="K108" s="65" t="s">
        <v>82</v>
      </c>
      <c r="L108" s="66">
        <v>781.79</v>
      </c>
      <c r="M108" s="67" t="s">
        <v>53</v>
      </c>
      <c r="N108" s="67" t="s">
        <v>59</v>
      </c>
      <c r="O108" s="67">
        <v>42.39</v>
      </c>
      <c r="P108" s="68" t="s">
        <v>53</v>
      </c>
      <c r="Q108" s="67" t="s">
        <v>60</v>
      </c>
      <c r="R108" s="67">
        <v>8.22</v>
      </c>
      <c r="S108" s="69" t="s">
        <v>61</v>
      </c>
      <c r="T108" s="69">
        <v>169000</v>
      </c>
      <c r="U108" s="69"/>
      <c r="V108" s="69" t="s">
        <v>62</v>
      </c>
      <c r="W108" s="69">
        <v>4668.46</v>
      </c>
      <c r="X108" s="69"/>
      <c r="Y108" s="69" t="s">
        <v>63</v>
      </c>
      <c r="Z108" s="69">
        <v>970</v>
      </c>
      <c r="AA108" s="69"/>
      <c r="AB108" s="70"/>
      <c r="AC108" s="69" t="s">
        <v>178</v>
      </c>
      <c r="AD108" s="69"/>
      <c r="AE108" s="71">
        <v>93472.93</v>
      </c>
      <c r="AF108" s="69"/>
      <c r="AG108" s="3" t="str">
        <f>B108&amp;C108</f>
        <v>ConnorClowes</v>
      </c>
      <c r="AH108" s="3" t="str">
        <f>VLOOKUP($AG108,[1]Sheet8!$B:$G,1,0)</f>
        <v>CONNORCLOWES</v>
      </c>
      <c r="AI108" s="3" t="str">
        <f>VLOOKUP($AG108,[1]Sheet8!$B:$G,4,0)</f>
        <v>EE</v>
      </c>
      <c r="AJ108" s="3" t="str">
        <f>VLOOKUP($AG108,[1]Sheet8!$B:$G,5,0)</f>
        <v>L093530003</v>
      </c>
      <c r="AK108" s="3">
        <f>VLOOKUP($AG108,[1]Sheet8!$B:$G,6,0)</f>
        <v>8.22</v>
      </c>
      <c r="AL108" s="3" t="s">
        <v>53</v>
      </c>
      <c r="AM108" s="3" t="s">
        <v>82</v>
      </c>
      <c r="AN108" s="3">
        <v>781.79</v>
      </c>
      <c r="AO108" s="3" t="s">
        <v>53</v>
      </c>
      <c r="AP108" s="3" t="s">
        <v>59</v>
      </c>
      <c r="AQ108" s="3">
        <v>42.39</v>
      </c>
      <c r="AR108" s="3" t="s">
        <v>53</v>
      </c>
      <c r="AS108" s="3" t="s">
        <v>60</v>
      </c>
      <c r="AT108" s="3">
        <v>8.22</v>
      </c>
    </row>
    <row r="109" s="3" customFormat="1" ht="15" customHeight="1" spans="1:46">
      <c r="A109" s="60">
        <v>84</v>
      </c>
      <c r="B109" s="61" t="s">
        <v>93</v>
      </c>
      <c r="C109" s="61" t="s">
        <v>255</v>
      </c>
      <c r="D109" s="61" t="s">
        <v>52</v>
      </c>
      <c r="E109" s="62">
        <v>33033</v>
      </c>
      <c r="F109" s="61">
        <v>34771</v>
      </c>
      <c r="G109" s="61" t="s">
        <v>53</v>
      </c>
      <c r="H109" s="63" t="s">
        <v>54</v>
      </c>
      <c r="I109" s="64" t="s">
        <v>119</v>
      </c>
      <c r="J109" s="63" t="s">
        <v>56</v>
      </c>
      <c r="K109" s="65"/>
      <c r="L109" s="66"/>
      <c r="M109" s="67"/>
      <c r="N109" s="67"/>
      <c r="O109" s="67"/>
      <c r="P109" s="68"/>
      <c r="Q109" s="67"/>
      <c r="R109" s="67"/>
      <c r="S109" s="69" t="s">
        <v>61</v>
      </c>
      <c r="T109" s="69">
        <v>140000</v>
      </c>
      <c r="U109" s="69"/>
      <c r="V109" s="69" t="s">
        <v>62</v>
      </c>
      <c r="W109" s="69">
        <v>3889.08</v>
      </c>
      <c r="X109" s="69"/>
      <c r="Y109" s="69" t="s">
        <v>63</v>
      </c>
      <c r="Z109" s="69">
        <v>808</v>
      </c>
      <c r="AA109" s="69"/>
      <c r="AB109" s="70"/>
      <c r="AC109" s="69" t="s">
        <v>256</v>
      </c>
      <c r="AD109" s="69"/>
      <c r="AE109" s="71">
        <v>72100</v>
      </c>
      <c r="AF109" s="69"/>
      <c r="AG109" s="3" t="str">
        <f>B109&amp;C109</f>
        <v>SarahColeman</v>
      </c>
      <c r="AH109" s="3" t="e">
        <f>VLOOKUP($AG109,[1]Sheet8!$B:$G,1,0)</f>
        <v>#N/A</v>
      </c>
      <c r="AI109" s="3" t="e">
        <f>VLOOKUP($AG109,[1]Sheet8!$B:$G,4,0)</f>
        <v>#N/A</v>
      </c>
      <c r="AJ109" s="3" t="e">
        <f>VLOOKUP($AG109,[1]Sheet8!$B:$G,5,0)</f>
        <v>#N/A</v>
      </c>
      <c r="AK109" s="3" t="e">
        <f>VLOOKUP($AG109,[1]Sheet8!$B:$G,6,0)</f>
        <v>#N/A</v>
      </c>
    </row>
    <row r="110" s="3" customFormat="1" ht="15" customHeight="1" spans="1:46">
      <c r="A110" s="60">
        <v>85</v>
      </c>
      <c r="B110" s="61" t="s">
        <v>257</v>
      </c>
      <c r="C110" s="61" t="s">
        <v>258</v>
      </c>
      <c r="D110" s="61" t="s">
        <v>52</v>
      </c>
      <c r="E110" s="62">
        <v>32342</v>
      </c>
      <c r="F110" s="61">
        <v>94117</v>
      </c>
      <c r="G110" s="61" t="s">
        <v>53</v>
      </c>
      <c r="H110" s="63" t="s">
        <v>54</v>
      </c>
      <c r="I110" s="64" t="s">
        <v>53</v>
      </c>
      <c r="J110" s="63" t="s">
        <v>56</v>
      </c>
      <c r="K110" s="65" t="s">
        <v>82</v>
      </c>
      <c r="L110" s="66">
        <v>781.79</v>
      </c>
      <c r="M110" s="67" t="s">
        <v>53</v>
      </c>
      <c r="N110" s="67" t="s">
        <v>59</v>
      </c>
      <c r="O110" s="67">
        <v>42.39</v>
      </c>
      <c r="P110" s="68" t="s">
        <v>53</v>
      </c>
      <c r="Q110" s="67" t="s">
        <v>60</v>
      </c>
      <c r="R110" s="67">
        <v>8.22</v>
      </c>
      <c r="S110" s="69" t="s">
        <v>61</v>
      </c>
      <c r="T110" s="69">
        <v>207000</v>
      </c>
      <c r="U110" s="69"/>
      <c r="V110" s="69" t="s">
        <v>62</v>
      </c>
      <c r="W110" s="69">
        <v>5733.01</v>
      </c>
      <c r="X110" s="69"/>
      <c r="Y110" s="69" t="s">
        <v>63</v>
      </c>
      <c r="Z110" s="69">
        <v>1191</v>
      </c>
      <c r="AA110" s="69"/>
      <c r="AB110" s="70"/>
      <c r="AC110" s="69" t="s">
        <v>152</v>
      </c>
      <c r="AD110" s="69"/>
      <c r="AE110" s="71">
        <v>106285</v>
      </c>
      <c r="AF110" s="69"/>
      <c r="AG110" s="3" t="str">
        <f>B110&amp;C110</f>
        <v>CaitlinCollins</v>
      </c>
      <c r="AH110" s="3" t="str">
        <f>VLOOKUP($AG110,[1]Sheet8!$B:$G,1,0)</f>
        <v>CAITLINCOLLINS</v>
      </c>
      <c r="AI110" s="3" t="str">
        <f>VLOOKUP($AG110,[1]Sheet8!$B:$G,4,0)</f>
        <v>EE</v>
      </c>
      <c r="AJ110" s="3" t="str">
        <f>VLOOKUP($AG110,[1]Sheet8!$B:$G,5,0)</f>
        <v>L093530003</v>
      </c>
      <c r="AK110" s="3">
        <f>VLOOKUP($AG110,[1]Sheet8!$B:$G,6,0)</f>
        <v>8.22</v>
      </c>
      <c r="AL110" s="3" t="s">
        <v>53</v>
      </c>
      <c r="AM110" s="3" t="s">
        <v>82</v>
      </c>
      <c r="AN110" s="3">
        <v>781.79</v>
      </c>
      <c r="AO110" s="3" t="s">
        <v>53</v>
      </c>
      <c r="AP110" s="3" t="s">
        <v>59</v>
      </c>
      <c r="AQ110" s="3">
        <v>42.39</v>
      </c>
      <c r="AR110" s="3" t="s">
        <v>53</v>
      </c>
      <c r="AS110" s="3" t="s">
        <v>60</v>
      </c>
      <c r="AT110" s="3">
        <v>8.22</v>
      </c>
    </row>
    <row r="111" s="3" customFormat="1" ht="15" customHeight="1" spans="1:46">
      <c r="A111" s="60">
        <v>86</v>
      </c>
      <c r="B111" s="61" t="s">
        <v>259</v>
      </c>
      <c r="C111" s="61" t="s">
        <v>260</v>
      </c>
      <c r="D111" s="61" t="s">
        <v>52</v>
      </c>
      <c r="E111" s="62">
        <v>23887</v>
      </c>
      <c r="F111" s="61">
        <v>94112</v>
      </c>
      <c r="G111" s="61" t="s">
        <v>53</v>
      </c>
      <c r="H111" s="63" t="s">
        <v>54</v>
      </c>
      <c r="I111" s="64" t="s">
        <v>81</v>
      </c>
      <c r="J111" s="63" t="s">
        <v>56</v>
      </c>
      <c r="K111" s="65" t="s">
        <v>82</v>
      </c>
      <c r="L111" s="66">
        <v>1719.95</v>
      </c>
      <c r="M111" s="67" t="s">
        <v>81</v>
      </c>
      <c r="N111" s="67" t="s">
        <v>59</v>
      </c>
      <c r="O111" s="67">
        <v>84.72</v>
      </c>
      <c r="P111" s="68"/>
      <c r="Q111" s="67"/>
      <c r="R111" s="67"/>
      <c r="S111" s="69" t="s">
        <v>61</v>
      </c>
      <c r="T111" s="69">
        <v>250000</v>
      </c>
      <c r="U111" s="69"/>
      <c r="V111" s="69" t="s">
        <v>62</v>
      </c>
      <c r="W111" s="69">
        <v>10000</v>
      </c>
      <c r="X111" s="69"/>
      <c r="Y111" s="69" t="s">
        <v>63</v>
      </c>
      <c r="Z111" s="69">
        <v>2000</v>
      </c>
      <c r="AA111" s="69"/>
      <c r="AB111" s="70"/>
      <c r="AC111" s="69" t="s">
        <v>162</v>
      </c>
      <c r="AD111" s="69"/>
      <c r="AE111" s="71">
        <v>276802</v>
      </c>
      <c r="AF111" s="69"/>
      <c r="AG111" s="3" t="str">
        <f>B111&amp;C111</f>
        <v>AnnComoglio</v>
      </c>
      <c r="AH111" s="3" t="e">
        <f>VLOOKUP($AG111,[1]Sheet8!$B:$G,1,0)</f>
        <v>#N/A</v>
      </c>
      <c r="AI111" s="3" t="e">
        <f>VLOOKUP($AG111,[1]Sheet8!$B:$G,4,0)</f>
        <v>#N/A</v>
      </c>
      <c r="AJ111" s="3" t="e">
        <f>VLOOKUP($AG111,[1]Sheet8!$B:$G,5,0)</f>
        <v>#N/A</v>
      </c>
      <c r="AK111" s="3" t="e">
        <f>VLOOKUP($AG111,[1]Sheet8!$B:$G,6,0)</f>
        <v>#N/A</v>
      </c>
      <c r="AL111" s="3" t="s">
        <v>81</v>
      </c>
      <c r="AM111" s="3" t="s">
        <v>82</v>
      </c>
      <c r="AN111" s="3">
        <v>1719.95</v>
      </c>
      <c r="AO111" s="3" t="s">
        <v>81</v>
      </c>
      <c r="AP111" s="3" t="s">
        <v>59</v>
      </c>
      <c r="AQ111" s="3">
        <v>84.72</v>
      </c>
    </row>
    <row r="112" s="3" customFormat="1" ht="15" customHeight="1" spans="1:46">
      <c r="A112" s="60">
        <v>87</v>
      </c>
      <c r="B112" s="61" t="s">
        <v>261</v>
      </c>
      <c r="C112" s="61" t="s">
        <v>262</v>
      </c>
      <c r="D112" s="61" t="s">
        <v>67</v>
      </c>
      <c r="E112" s="62">
        <v>22326</v>
      </c>
      <c r="F112" s="61">
        <v>94112</v>
      </c>
      <c r="G112" s="61" t="s">
        <v>85</v>
      </c>
      <c r="H112" s="63">
        <v>86</v>
      </c>
      <c r="I112" s="64" t="s">
        <v>81</v>
      </c>
      <c r="J112" s="63" t="s">
        <v>56</v>
      </c>
      <c r="K112" s="65"/>
      <c r="L112" s="66"/>
      <c r="M112" s="67"/>
      <c r="N112" s="67"/>
      <c r="O112" s="67"/>
      <c r="P112" s="68"/>
      <c r="Q112" s="67"/>
      <c r="R112" s="67"/>
      <c r="S112" s="69"/>
      <c r="T112" s="69"/>
      <c r="U112" s="69"/>
      <c r="V112" s="69"/>
      <c r="W112" s="69"/>
      <c r="X112" s="69"/>
      <c r="Y112" s="69"/>
      <c r="Z112" s="69"/>
      <c r="AA112" s="69"/>
      <c r="AB112" s="70"/>
      <c r="AC112" s="69"/>
      <c r="AD112" s="69"/>
      <c r="AE112" s="71"/>
      <c r="AF112" s="69"/>
    </row>
    <row r="113" s="3" customFormat="1" ht="15" customHeight="1" spans="1:46">
      <c r="A113" s="60">
        <v>88</v>
      </c>
      <c r="B113" s="61" t="s">
        <v>263</v>
      </c>
      <c r="C113" s="61" t="s">
        <v>264</v>
      </c>
      <c r="D113" s="61" t="s">
        <v>67</v>
      </c>
      <c r="E113" s="62">
        <v>34054</v>
      </c>
      <c r="F113" s="61">
        <v>33603</v>
      </c>
      <c r="G113" s="61" t="s">
        <v>53</v>
      </c>
      <c r="H113" s="63" t="s">
        <v>54</v>
      </c>
      <c r="I113" s="64" t="s">
        <v>81</v>
      </c>
      <c r="J113" s="63" t="s">
        <v>56</v>
      </c>
      <c r="K113" s="65" t="s">
        <v>57</v>
      </c>
      <c r="L113" s="66">
        <v>2718.81</v>
      </c>
      <c r="M113" s="67" t="s">
        <v>81</v>
      </c>
      <c r="N113" s="67" t="s">
        <v>59</v>
      </c>
      <c r="O113" s="67">
        <v>84.72</v>
      </c>
      <c r="P113" s="68" t="s">
        <v>81</v>
      </c>
      <c r="Q113" s="67" t="s">
        <v>60</v>
      </c>
      <c r="R113" s="67">
        <v>16.48</v>
      </c>
      <c r="S113" s="69" t="s">
        <v>61</v>
      </c>
      <c r="T113" s="69">
        <v>209000</v>
      </c>
      <c r="U113" s="69"/>
      <c r="V113" s="69" t="s">
        <v>62</v>
      </c>
      <c r="W113" s="69">
        <v>5789.18</v>
      </c>
      <c r="X113" s="69"/>
      <c r="Y113" s="69" t="s">
        <v>63</v>
      </c>
      <c r="Z113" s="69">
        <v>1202</v>
      </c>
      <c r="AA113" s="69"/>
      <c r="AB113" s="70"/>
      <c r="AC113" s="69" t="s">
        <v>72</v>
      </c>
      <c r="AD113" s="69"/>
      <c r="AE113" s="71">
        <v>107847</v>
      </c>
      <c r="AF113" s="69"/>
      <c r="AG113" s="3" t="str">
        <f>B113&amp;C113</f>
        <v>HudsonCorbett</v>
      </c>
      <c r="AH113" s="3" t="str">
        <f>VLOOKUP($AG113,[1]Sheet8!$B:$G,1,0)</f>
        <v>HUDSONCORBETT</v>
      </c>
      <c r="AI113" s="3" t="str">
        <f>VLOOKUP($AG113,[1]Sheet8!$B:$G,4,0)</f>
        <v>ES</v>
      </c>
      <c r="AJ113" s="3" t="str">
        <f>VLOOKUP($AG113,[1]Sheet8!$B:$G,5,0)</f>
        <v>L093530003</v>
      </c>
      <c r="AK113" s="3">
        <f>VLOOKUP($AG113,[1]Sheet8!$B:$G,6,0)</f>
        <v>16.48</v>
      </c>
      <c r="AL113" s="3" t="s">
        <v>81</v>
      </c>
      <c r="AM113" s="3" t="s">
        <v>57</v>
      </c>
      <c r="AN113" s="3">
        <v>2718.81</v>
      </c>
      <c r="AO113" s="3" t="s">
        <v>81</v>
      </c>
      <c r="AP113" s="3" t="s">
        <v>59</v>
      </c>
      <c r="AQ113" s="3">
        <v>84.72</v>
      </c>
      <c r="AR113" s="3" t="s">
        <v>81</v>
      </c>
      <c r="AS113" s="3" t="s">
        <v>60</v>
      </c>
      <c r="AT113" s="3">
        <v>16.48</v>
      </c>
    </row>
    <row r="114" s="3" customFormat="1" ht="15" customHeight="1" spans="1:46">
      <c r="A114" s="60">
        <v>89</v>
      </c>
      <c r="B114" s="61" t="s">
        <v>265</v>
      </c>
      <c r="C114" s="61" t="s">
        <v>266</v>
      </c>
      <c r="D114" s="61" t="s">
        <v>52</v>
      </c>
      <c r="E114" s="62">
        <v>33898</v>
      </c>
      <c r="F114" s="61">
        <v>33603</v>
      </c>
      <c r="G114" s="61" t="s">
        <v>85</v>
      </c>
      <c r="H114" s="63">
        <v>88</v>
      </c>
      <c r="I114" s="64" t="s">
        <v>81</v>
      </c>
      <c r="J114" s="63" t="s">
        <v>56</v>
      </c>
      <c r="K114" s="65"/>
      <c r="L114" s="66"/>
      <c r="M114" s="67"/>
      <c r="N114" s="67"/>
      <c r="O114" s="67"/>
      <c r="P114" s="68"/>
      <c r="Q114" s="67"/>
      <c r="R114" s="67"/>
      <c r="S114" s="69"/>
      <c r="T114" s="69"/>
      <c r="U114" s="69"/>
      <c r="V114" s="69"/>
      <c r="W114" s="69"/>
      <c r="X114" s="69"/>
      <c r="Y114" s="69"/>
      <c r="Z114" s="69"/>
      <c r="AA114" s="69"/>
      <c r="AB114" s="70"/>
      <c r="AC114" s="69"/>
      <c r="AD114" s="69"/>
      <c r="AE114" s="71"/>
      <c r="AF114" s="69"/>
    </row>
    <row r="115" s="3" customFormat="1" ht="15" customHeight="1" spans="1:46">
      <c r="A115" s="60">
        <v>90</v>
      </c>
      <c r="B115" s="61" t="s">
        <v>267</v>
      </c>
      <c r="C115" s="61" t="s">
        <v>268</v>
      </c>
      <c r="D115" s="61" t="s">
        <v>67</v>
      </c>
      <c r="E115" s="62">
        <v>32826</v>
      </c>
      <c r="F115" s="61">
        <v>34243</v>
      </c>
      <c r="G115" s="61" t="s">
        <v>53</v>
      </c>
      <c r="H115" s="63" t="s">
        <v>54</v>
      </c>
      <c r="I115" s="64" t="s">
        <v>58</v>
      </c>
      <c r="J115" s="63" t="s">
        <v>56</v>
      </c>
      <c r="K115" s="65" t="s">
        <v>82</v>
      </c>
      <c r="L115" s="66">
        <v>2423.56</v>
      </c>
      <c r="M115" s="67" t="s">
        <v>58</v>
      </c>
      <c r="N115" s="67" t="s">
        <v>59</v>
      </c>
      <c r="O115" s="67">
        <v>147.1</v>
      </c>
      <c r="P115" s="68" t="s">
        <v>81</v>
      </c>
      <c r="Q115" s="67" t="s">
        <v>60</v>
      </c>
      <c r="R115" s="67">
        <v>16.48</v>
      </c>
      <c r="S115" s="69" t="s">
        <v>61</v>
      </c>
      <c r="T115" s="69">
        <v>250000</v>
      </c>
      <c r="U115" s="69"/>
      <c r="V115" s="69" t="s">
        <v>62</v>
      </c>
      <c r="W115" s="69">
        <v>8889.33</v>
      </c>
      <c r="X115" s="69"/>
      <c r="Y115" s="69" t="s">
        <v>63</v>
      </c>
      <c r="Z115" s="69">
        <v>1846</v>
      </c>
      <c r="AA115" s="69"/>
      <c r="AB115" s="70"/>
      <c r="AC115" s="69" t="s">
        <v>269</v>
      </c>
      <c r="AD115" s="69"/>
      <c r="AE115" s="71">
        <v>160000</v>
      </c>
      <c r="AF115" s="69"/>
      <c r="AG115" s="3" t="str">
        <f>B115&amp;C115</f>
        <v>CoryCostello</v>
      </c>
      <c r="AH115" s="3" t="str">
        <f>VLOOKUP($AG115,[1]Sheet8!$B:$G,1,0)</f>
        <v>CORYCOSTELLO</v>
      </c>
      <c r="AI115" s="3" t="str">
        <f>VLOOKUP($AG115,[1]Sheet8!$B:$G,4,0)</f>
        <v>ES</v>
      </c>
      <c r="AJ115" s="3" t="str">
        <f>VLOOKUP($AG115,[1]Sheet8!$B:$G,5,0)</f>
        <v>L093530003</v>
      </c>
      <c r="AK115" s="3">
        <f>VLOOKUP($AG115,[1]Sheet8!$B:$G,6,0)</f>
        <v>16.48</v>
      </c>
      <c r="AL115" s="3" t="s">
        <v>58</v>
      </c>
      <c r="AM115" s="3" t="s">
        <v>82</v>
      </c>
      <c r="AN115" s="3">
        <v>2423.56</v>
      </c>
      <c r="AO115" s="3" t="s">
        <v>58</v>
      </c>
      <c r="AP115" s="3" t="s">
        <v>59</v>
      </c>
      <c r="AQ115" s="3">
        <v>147.1</v>
      </c>
      <c r="AR115" s="3" t="s">
        <v>81</v>
      </c>
      <c r="AS115" s="3" t="s">
        <v>60</v>
      </c>
      <c r="AT115" s="3">
        <v>16.48</v>
      </c>
    </row>
    <row r="116" s="3" customFormat="1" ht="15" customHeight="1" spans="1:46">
      <c r="A116" s="60">
        <v>91</v>
      </c>
      <c r="B116" s="61" t="s">
        <v>270</v>
      </c>
      <c r="C116" s="61" t="s">
        <v>271</v>
      </c>
      <c r="D116" s="61" t="s">
        <v>67</v>
      </c>
      <c r="E116" s="62">
        <v>45754</v>
      </c>
      <c r="F116" s="61">
        <v>34243</v>
      </c>
      <c r="G116" s="61" t="s">
        <v>68</v>
      </c>
      <c r="H116" s="63">
        <v>90</v>
      </c>
      <c r="I116" s="64" t="s">
        <v>58</v>
      </c>
      <c r="J116" s="63" t="s">
        <v>56</v>
      </c>
      <c r="K116" s="65"/>
      <c r="L116" s="66"/>
      <c r="M116" s="67"/>
      <c r="N116" s="67"/>
      <c r="O116" s="67"/>
      <c r="P116" s="68"/>
      <c r="Q116" s="67"/>
      <c r="R116" s="67"/>
      <c r="S116" s="69"/>
      <c r="T116" s="69"/>
      <c r="U116" s="69"/>
      <c r="V116" s="69"/>
      <c r="W116" s="69"/>
      <c r="X116" s="69"/>
      <c r="Y116" s="69"/>
      <c r="Z116" s="69"/>
      <c r="AA116" s="69"/>
      <c r="AB116" s="70"/>
      <c r="AC116" s="69"/>
      <c r="AD116" s="69"/>
      <c r="AE116" s="71"/>
      <c r="AF116" s="69"/>
    </row>
    <row r="117" s="3" customFormat="1" ht="15" customHeight="1" spans="1:46">
      <c r="A117" s="60">
        <v>92</v>
      </c>
      <c r="B117" s="61" t="s">
        <v>272</v>
      </c>
      <c r="C117" s="61" t="s">
        <v>273</v>
      </c>
      <c r="D117" s="61" t="s">
        <v>52</v>
      </c>
      <c r="E117" s="62">
        <v>32998</v>
      </c>
      <c r="F117" s="61">
        <v>34243</v>
      </c>
      <c r="G117" s="61" t="s">
        <v>85</v>
      </c>
      <c r="H117" s="63">
        <v>90</v>
      </c>
      <c r="I117" s="64" t="s">
        <v>58</v>
      </c>
      <c r="J117" s="63" t="s">
        <v>56</v>
      </c>
      <c r="K117" s="65"/>
      <c r="L117" s="66"/>
      <c r="M117" s="67"/>
      <c r="N117" s="67"/>
      <c r="O117" s="67"/>
      <c r="P117" s="68"/>
      <c r="Q117" s="67"/>
      <c r="R117" s="67"/>
      <c r="S117" s="69"/>
      <c r="T117" s="69"/>
      <c r="U117" s="69"/>
      <c r="V117" s="69"/>
      <c r="W117" s="69"/>
      <c r="X117" s="69"/>
      <c r="Y117" s="69"/>
      <c r="Z117" s="69"/>
      <c r="AA117" s="69"/>
      <c r="AB117" s="70"/>
      <c r="AC117" s="69"/>
      <c r="AD117" s="69"/>
      <c r="AE117" s="71"/>
      <c r="AF117" s="69"/>
    </row>
    <row r="118" s="3" customFormat="1" ht="15" customHeight="1" spans="1:46">
      <c r="A118" s="60">
        <v>93</v>
      </c>
      <c r="B118" s="61" t="s">
        <v>274</v>
      </c>
      <c r="C118" s="61" t="s">
        <v>271</v>
      </c>
      <c r="D118" s="61" t="s">
        <v>52</v>
      </c>
      <c r="E118" s="62">
        <v>44855</v>
      </c>
      <c r="F118" s="61">
        <v>34243</v>
      </c>
      <c r="G118" s="61" t="s">
        <v>68</v>
      </c>
      <c r="H118" s="63">
        <v>90</v>
      </c>
      <c r="I118" s="64" t="s">
        <v>58</v>
      </c>
      <c r="J118" s="63" t="s">
        <v>56</v>
      </c>
      <c r="K118" s="65"/>
      <c r="L118" s="66"/>
      <c r="M118" s="67"/>
      <c r="N118" s="67"/>
      <c r="O118" s="67"/>
      <c r="P118" s="68"/>
      <c r="Q118" s="67"/>
      <c r="R118" s="67"/>
      <c r="S118" s="69"/>
      <c r="T118" s="69"/>
      <c r="U118" s="69"/>
      <c r="V118" s="69"/>
      <c r="W118" s="69"/>
      <c r="X118" s="69"/>
      <c r="Y118" s="69"/>
      <c r="Z118" s="69"/>
      <c r="AA118" s="69"/>
      <c r="AB118" s="70"/>
      <c r="AC118" s="69"/>
      <c r="AD118" s="69"/>
      <c r="AE118" s="71"/>
      <c r="AF118" s="69"/>
    </row>
    <row r="119" s="3" customFormat="1" ht="15" customHeight="1" spans="1:46">
      <c r="A119" s="60">
        <v>94</v>
      </c>
      <c r="B119" s="61" t="s">
        <v>275</v>
      </c>
      <c r="C119" s="61" t="s">
        <v>276</v>
      </c>
      <c r="D119" s="61" t="s">
        <v>52</v>
      </c>
      <c r="E119" s="62">
        <v>31105</v>
      </c>
      <c r="F119" s="61">
        <v>92870</v>
      </c>
      <c r="G119" s="61" t="s">
        <v>53</v>
      </c>
      <c r="H119" s="63" t="s">
        <v>54</v>
      </c>
      <c r="I119" s="64" t="s">
        <v>53</v>
      </c>
      <c r="J119" s="63" t="s">
        <v>56</v>
      </c>
      <c r="K119" s="65" t="s">
        <v>82</v>
      </c>
      <c r="L119" s="66">
        <v>781.79</v>
      </c>
      <c r="M119" s="67" t="s">
        <v>53</v>
      </c>
      <c r="N119" s="67" t="s">
        <v>59</v>
      </c>
      <c r="O119" s="67">
        <v>42.39</v>
      </c>
      <c r="P119" s="68" t="s">
        <v>53</v>
      </c>
      <c r="Q119" s="67" t="s">
        <v>60</v>
      </c>
      <c r="R119" s="67">
        <v>8.22</v>
      </c>
      <c r="S119" s="69" t="s">
        <v>61</v>
      </c>
      <c r="T119" s="69">
        <v>250000</v>
      </c>
      <c r="U119" s="69"/>
      <c r="V119" s="69" t="s">
        <v>62</v>
      </c>
      <c r="W119" s="69">
        <v>8112.63</v>
      </c>
      <c r="X119" s="69"/>
      <c r="Y119" s="69" t="s">
        <v>63</v>
      </c>
      <c r="Z119" s="69">
        <v>1685</v>
      </c>
      <c r="AA119" s="69"/>
      <c r="AB119" s="70"/>
      <c r="AC119" s="69" t="s">
        <v>98</v>
      </c>
      <c r="AD119" s="69"/>
      <c r="AE119" s="71">
        <v>151131</v>
      </c>
      <c r="AF119" s="69"/>
      <c r="AG119" s="3" t="str">
        <f>B119&amp;C119</f>
        <v>MarjorieCuellar</v>
      </c>
      <c r="AH119" s="3" t="str">
        <f>VLOOKUP($AG119,[1]Sheet8!$B:$G,1,0)</f>
        <v>MARJORIECUELLAR</v>
      </c>
      <c r="AI119" s="3" t="str">
        <f>VLOOKUP($AG119,[1]Sheet8!$B:$G,4,0)</f>
        <v>EE</v>
      </c>
      <c r="AJ119" s="3" t="str">
        <f>VLOOKUP($AG119,[1]Sheet8!$B:$G,5,0)</f>
        <v>L093530003</v>
      </c>
      <c r="AK119" s="3">
        <f>VLOOKUP($AG119,[1]Sheet8!$B:$G,6,0)</f>
        <v>8.22</v>
      </c>
      <c r="AL119" s="3" t="s">
        <v>53</v>
      </c>
      <c r="AM119" s="3" t="s">
        <v>82</v>
      </c>
      <c r="AN119" s="3">
        <v>781.79</v>
      </c>
      <c r="AO119" s="3" t="s">
        <v>53</v>
      </c>
      <c r="AP119" s="3" t="s">
        <v>59</v>
      </c>
      <c r="AQ119" s="3">
        <v>42.39</v>
      </c>
      <c r="AR119" s="3" t="s">
        <v>53</v>
      </c>
      <c r="AS119" s="3" t="s">
        <v>60</v>
      </c>
      <c r="AT119" s="3">
        <v>8.22</v>
      </c>
    </row>
    <row r="120" s="3" customFormat="1" ht="15" customHeight="1" spans="1:46">
      <c r="A120" s="60">
        <v>95</v>
      </c>
      <c r="B120" s="61" t="s">
        <v>277</v>
      </c>
      <c r="C120" s="61" t="s">
        <v>278</v>
      </c>
      <c r="D120" s="61" t="s">
        <v>52</v>
      </c>
      <c r="E120" s="62">
        <v>36113</v>
      </c>
      <c r="F120" s="61">
        <v>11217</v>
      </c>
      <c r="G120" s="61" t="s">
        <v>53</v>
      </c>
      <c r="H120" s="63" t="s">
        <v>54</v>
      </c>
      <c r="I120" s="64" t="s">
        <v>119</v>
      </c>
      <c r="J120" s="63" t="s">
        <v>56</v>
      </c>
      <c r="K120" s="65"/>
      <c r="L120" s="66"/>
      <c r="M120" s="67"/>
      <c r="N120" s="67"/>
      <c r="O120" s="67"/>
      <c r="P120" s="68"/>
      <c r="Q120" s="67"/>
      <c r="R120" s="67"/>
      <c r="S120" s="69" t="s">
        <v>61</v>
      </c>
      <c r="T120" s="69">
        <v>171000</v>
      </c>
      <c r="U120" s="69"/>
      <c r="V120" s="69" t="s">
        <v>62</v>
      </c>
      <c r="W120" s="69">
        <v>4741.18</v>
      </c>
      <c r="X120" s="69"/>
      <c r="Y120" s="69" t="s">
        <v>63</v>
      </c>
      <c r="Z120" s="69">
        <v>985</v>
      </c>
      <c r="AA120" s="69"/>
      <c r="AB120" s="70"/>
      <c r="AC120" s="69" t="s">
        <v>194</v>
      </c>
      <c r="AD120" s="69"/>
      <c r="AE120" s="71">
        <v>87898</v>
      </c>
      <c r="AF120" s="69"/>
      <c r="AG120" s="3" t="str">
        <f>B120&amp;C120</f>
        <v>ClaraCullen</v>
      </c>
      <c r="AH120" s="3" t="e">
        <f>VLOOKUP($AG120,[1]Sheet8!$B:$G,1,0)</f>
        <v>#N/A</v>
      </c>
      <c r="AI120" s="3" t="e">
        <f>VLOOKUP($AG120,[1]Sheet8!$B:$G,4,0)</f>
        <v>#N/A</v>
      </c>
      <c r="AJ120" s="3" t="e">
        <f>VLOOKUP($AG120,[1]Sheet8!$B:$G,5,0)</f>
        <v>#N/A</v>
      </c>
      <c r="AK120" s="3" t="e">
        <f>VLOOKUP($AG120,[1]Sheet8!$B:$G,6,0)</f>
        <v>#N/A</v>
      </c>
    </row>
    <row r="121" s="3" customFormat="1" ht="15" customHeight="1" spans="1:46">
      <c r="A121" s="60">
        <v>96</v>
      </c>
      <c r="B121" s="61" t="s">
        <v>69</v>
      </c>
      <c r="C121" s="61" t="s">
        <v>279</v>
      </c>
      <c r="D121" s="61" t="s">
        <v>67</v>
      </c>
      <c r="E121" s="62">
        <v>33704</v>
      </c>
      <c r="F121" s="61">
        <v>46373</v>
      </c>
      <c r="G121" s="61" t="s">
        <v>53</v>
      </c>
      <c r="H121" s="63" t="s">
        <v>54</v>
      </c>
      <c r="I121" s="64" t="s">
        <v>53</v>
      </c>
      <c r="J121" s="63" t="s">
        <v>56</v>
      </c>
      <c r="K121" s="65" t="s">
        <v>57</v>
      </c>
      <c r="L121" s="66">
        <v>1235.83</v>
      </c>
      <c r="M121" s="67" t="s">
        <v>53</v>
      </c>
      <c r="N121" s="67" t="s">
        <v>59</v>
      </c>
      <c r="O121" s="67">
        <v>42.39</v>
      </c>
      <c r="P121" s="68" t="s">
        <v>53</v>
      </c>
      <c r="Q121" s="67" t="s">
        <v>60</v>
      </c>
      <c r="R121" s="67">
        <v>8.22</v>
      </c>
      <c r="S121" s="69" t="s">
        <v>61</v>
      </c>
      <c r="T121" s="69">
        <v>186000</v>
      </c>
      <c r="U121" s="69"/>
      <c r="V121" s="69" t="s">
        <v>62</v>
      </c>
      <c r="W121" s="69">
        <v>5166.93</v>
      </c>
      <c r="X121" s="69"/>
      <c r="Y121" s="69" t="s">
        <v>63</v>
      </c>
      <c r="Z121" s="69">
        <v>1073</v>
      </c>
      <c r="AA121" s="69"/>
      <c r="AB121" s="70"/>
      <c r="AC121" s="69" t="s">
        <v>280</v>
      </c>
      <c r="AD121" s="69"/>
      <c r="AE121" s="71">
        <v>97185</v>
      </c>
      <c r="AF121" s="69"/>
      <c r="AG121" s="3" t="str">
        <f>B121&amp;C121</f>
        <v>JohnCuriel</v>
      </c>
      <c r="AH121" s="3" t="str">
        <f>VLOOKUP($AG121,[1]Sheet8!$B:$G,1,0)</f>
        <v>JOHNCURIEL</v>
      </c>
      <c r="AI121" s="3" t="str">
        <f>VLOOKUP($AG121,[1]Sheet8!$B:$G,4,0)</f>
        <v>EE</v>
      </c>
      <c r="AJ121" s="3" t="str">
        <f>VLOOKUP($AG121,[1]Sheet8!$B:$G,5,0)</f>
        <v>L093530003</v>
      </c>
      <c r="AK121" s="3">
        <f>VLOOKUP($AG121,[1]Sheet8!$B:$G,6,0)</f>
        <v>8.22</v>
      </c>
      <c r="AL121" s="3" t="s">
        <v>53</v>
      </c>
      <c r="AM121" s="3" t="s">
        <v>57</v>
      </c>
      <c r="AN121" s="3">
        <v>1235.83</v>
      </c>
      <c r="AO121" s="3" t="s">
        <v>53</v>
      </c>
      <c r="AP121" s="3" t="s">
        <v>59</v>
      </c>
      <c r="AQ121" s="3">
        <v>42.39</v>
      </c>
      <c r="AR121" s="3" t="s">
        <v>53</v>
      </c>
      <c r="AS121" s="3" t="s">
        <v>60</v>
      </c>
      <c r="AT121" s="3">
        <v>8.22</v>
      </c>
    </row>
    <row r="122" s="3" customFormat="1" ht="15" customHeight="1" spans="1:46">
      <c r="A122" s="60">
        <v>97</v>
      </c>
      <c r="B122" s="61" t="s">
        <v>281</v>
      </c>
      <c r="C122" s="61" t="s">
        <v>282</v>
      </c>
      <c r="D122" s="61" t="s">
        <v>52</v>
      </c>
      <c r="E122" s="62">
        <v>30277</v>
      </c>
      <c r="F122" s="61" t="s">
        <v>283</v>
      </c>
      <c r="G122" s="61" t="s">
        <v>53</v>
      </c>
      <c r="H122" s="63" t="s">
        <v>54</v>
      </c>
      <c r="I122" s="64" t="s">
        <v>119</v>
      </c>
      <c r="J122" s="63" t="s">
        <v>56</v>
      </c>
      <c r="K122" s="65"/>
      <c r="L122" s="66"/>
      <c r="M122" s="67"/>
      <c r="N122" s="67"/>
      <c r="O122" s="67"/>
      <c r="P122" s="68"/>
      <c r="Q122" s="67"/>
      <c r="R122" s="67"/>
      <c r="S122" s="69" t="s">
        <v>61</v>
      </c>
      <c r="T122" s="69">
        <v>250000</v>
      </c>
      <c r="U122" s="69"/>
      <c r="V122" s="69" t="s">
        <v>62</v>
      </c>
      <c r="W122" s="69">
        <v>10000</v>
      </c>
      <c r="X122" s="69"/>
      <c r="Y122" s="69" t="s">
        <v>63</v>
      </c>
      <c r="Z122" s="69">
        <v>2000</v>
      </c>
      <c r="AA122" s="69"/>
      <c r="AB122" s="70"/>
      <c r="AC122" s="69" t="s">
        <v>284</v>
      </c>
      <c r="AD122" s="69"/>
      <c r="AE122" s="71">
        <v>225000</v>
      </c>
      <c r="AF122" s="69"/>
      <c r="AG122" s="3" t="str">
        <f>B122&amp;C122</f>
        <v>OanaDan</v>
      </c>
      <c r="AH122" s="3" t="e">
        <f>VLOOKUP($AG122,[1]Sheet8!$B:$G,1,0)</f>
        <v>#N/A</v>
      </c>
      <c r="AI122" s="3" t="e">
        <f>VLOOKUP($AG122,[1]Sheet8!$B:$G,4,0)</f>
        <v>#N/A</v>
      </c>
      <c r="AJ122" s="3" t="e">
        <f>VLOOKUP($AG122,[1]Sheet8!$B:$G,5,0)</f>
        <v>#N/A</v>
      </c>
      <c r="AK122" s="3" t="e">
        <f>VLOOKUP($AG122,[1]Sheet8!$B:$G,6,0)</f>
        <v>#N/A</v>
      </c>
    </row>
    <row r="123" s="3" customFormat="1" ht="15" customHeight="1" spans="1:46">
      <c r="A123" s="60">
        <v>98</v>
      </c>
      <c r="B123" s="61" t="s">
        <v>285</v>
      </c>
      <c r="C123" s="61" t="s">
        <v>286</v>
      </c>
      <c r="D123" s="61" t="s">
        <v>52</v>
      </c>
      <c r="E123" s="62">
        <v>36627</v>
      </c>
      <c r="F123" s="61">
        <v>95132</v>
      </c>
      <c r="G123" s="61" t="s">
        <v>53</v>
      </c>
      <c r="H123" s="63" t="s">
        <v>54</v>
      </c>
      <c r="I123" s="64" t="s">
        <v>53</v>
      </c>
      <c r="J123" s="63" t="s">
        <v>56</v>
      </c>
      <c r="K123" s="65" t="s">
        <v>82</v>
      </c>
      <c r="L123" s="66">
        <v>781.79</v>
      </c>
      <c r="M123" s="67" t="s">
        <v>53</v>
      </c>
      <c r="N123" s="67" t="s">
        <v>59</v>
      </c>
      <c r="O123" s="67">
        <v>42.39</v>
      </c>
      <c r="P123" s="68" t="s">
        <v>53</v>
      </c>
      <c r="Q123" s="67" t="s">
        <v>60</v>
      </c>
      <c r="R123" s="67">
        <v>8.22</v>
      </c>
      <c r="S123" s="69" t="s">
        <v>61</v>
      </c>
      <c r="T123" s="69">
        <v>188000</v>
      </c>
      <c r="U123" s="69"/>
      <c r="V123" s="69" t="s">
        <v>62</v>
      </c>
      <c r="W123" s="69">
        <v>5222.26</v>
      </c>
      <c r="X123" s="69"/>
      <c r="Y123" s="69" t="s">
        <v>63</v>
      </c>
      <c r="Z123" s="69">
        <v>1085</v>
      </c>
      <c r="AA123" s="69"/>
      <c r="AB123" s="70"/>
      <c r="AC123" s="69" t="s">
        <v>144</v>
      </c>
      <c r="AD123" s="69"/>
      <c r="AE123" s="71">
        <v>97756</v>
      </c>
      <c r="AF123" s="69"/>
      <c r="AG123" s="3" t="str">
        <f t="shared" ref="AG123:AG130" si="2">B123&amp;C123</f>
        <v>TrishaDang</v>
      </c>
      <c r="AH123" s="3" t="str">
        <f>VLOOKUP($AG123,[1]Sheet8!$B:$G,1,0)</f>
        <v>TRISHADANG</v>
      </c>
      <c r="AI123" s="3" t="str">
        <f>VLOOKUP($AG123,[1]Sheet8!$B:$G,4,0)</f>
        <v>EE</v>
      </c>
      <c r="AJ123" s="3" t="str">
        <f>VLOOKUP($AG123,[1]Sheet8!$B:$G,5,0)</f>
        <v>L093530003</v>
      </c>
      <c r="AK123" s="3">
        <f>VLOOKUP($AG123,[1]Sheet8!$B:$G,6,0)</f>
        <v>8.22</v>
      </c>
      <c r="AL123" s="3" t="s">
        <v>53</v>
      </c>
      <c r="AM123" s="3" t="s">
        <v>82</v>
      </c>
      <c r="AN123" s="3">
        <v>781.79</v>
      </c>
      <c r="AO123" s="3" t="s">
        <v>53</v>
      </c>
      <c r="AP123" s="3" t="s">
        <v>59</v>
      </c>
      <c r="AQ123" s="3">
        <v>42.39</v>
      </c>
      <c r="AR123" s="3" t="s">
        <v>53</v>
      </c>
      <c r="AS123" s="3" t="s">
        <v>60</v>
      </c>
      <c r="AT123" s="3">
        <v>8.22</v>
      </c>
    </row>
    <row r="124" s="3" customFormat="1" ht="15" customHeight="1" spans="1:46">
      <c r="A124" s="60">
        <v>99</v>
      </c>
      <c r="B124" s="61" t="s">
        <v>287</v>
      </c>
      <c r="C124" s="61" t="s">
        <v>288</v>
      </c>
      <c r="D124" s="61" t="s">
        <v>52</v>
      </c>
      <c r="E124" s="62">
        <v>36382</v>
      </c>
      <c r="F124" s="61">
        <v>11385</v>
      </c>
      <c r="G124" s="61" t="s">
        <v>53</v>
      </c>
      <c r="H124" s="63" t="s">
        <v>54</v>
      </c>
      <c r="I124" s="64" t="s">
        <v>53</v>
      </c>
      <c r="J124" s="63" t="s">
        <v>56</v>
      </c>
      <c r="K124" s="65" t="s">
        <v>57</v>
      </c>
      <c r="L124" s="66">
        <v>1235.83</v>
      </c>
      <c r="M124" s="67" t="s">
        <v>53</v>
      </c>
      <c r="N124" s="67" t="s">
        <v>59</v>
      </c>
      <c r="O124" s="67">
        <v>42.39</v>
      </c>
      <c r="P124" s="68" t="s">
        <v>53</v>
      </c>
      <c r="Q124" s="67" t="s">
        <v>60</v>
      </c>
      <c r="R124" s="67">
        <v>8.22</v>
      </c>
      <c r="S124" s="69" t="s">
        <v>61</v>
      </c>
      <c r="T124" s="69">
        <v>144000</v>
      </c>
      <c r="U124" s="69"/>
      <c r="V124" s="69" t="s">
        <v>62</v>
      </c>
      <c r="W124" s="69">
        <v>3976.59</v>
      </c>
      <c r="X124" s="69"/>
      <c r="Y124" s="69" t="s">
        <v>63</v>
      </c>
      <c r="Z124" s="69">
        <v>826</v>
      </c>
      <c r="AA124" s="69"/>
      <c r="AB124" s="70"/>
      <c r="AC124" s="69" t="s">
        <v>289</v>
      </c>
      <c r="AD124" s="69"/>
      <c r="AE124" s="71">
        <v>73543</v>
      </c>
      <c r="AF124" s="69"/>
      <c r="AG124" s="3" t="str">
        <f t="shared" si="2"/>
        <v>ArianaDarui</v>
      </c>
      <c r="AH124" s="3" t="str">
        <f>VLOOKUP($AG124,[1]Sheet8!$B:$G,1,0)</f>
        <v>ARIANADARUI</v>
      </c>
      <c r="AI124" s="3" t="str">
        <f>VLOOKUP($AG124,[1]Sheet8!$B:$G,4,0)</f>
        <v>EE</v>
      </c>
      <c r="AJ124" s="3" t="str">
        <f>VLOOKUP($AG124,[1]Sheet8!$B:$G,5,0)</f>
        <v>L093530003</v>
      </c>
      <c r="AK124" s="3">
        <f>VLOOKUP($AG124,[1]Sheet8!$B:$G,6,0)</f>
        <v>8.22</v>
      </c>
      <c r="AL124" s="3" t="s">
        <v>53</v>
      </c>
      <c r="AM124" s="3" t="s">
        <v>57</v>
      </c>
      <c r="AN124" s="3">
        <v>1235.83</v>
      </c>
      <c r="AO124" s="3" t="s">
        <v>53</v>
      </c>
      <c r="AP124" s="3" t="s">
        <v>59</v>
      </c>
      <c r="AQ124" s="3">
        <v>42.39</v>
      </c>
      <c r="AR124" s="3" t="s">
        <v>53</v>
      </c>
      <c r="AS124" s="3" t="s">
        <v>60</v>
      </c>
      <c r="AT124" s="3">
        <v>8.22</v>
      </c>
    </row>
    <row r="125" s="3" customFormat="1" ht="15" customHeight="1" spans="1:46">
      <c r="A125" s="60">
        <v>100</v>
      </c>
      <c r="B125" s="61" t="s">
        <v>290</v>
      </c>
      <c r="C125" s="61" t="s">
        <v>291</v>
      </c>
      <c r="D125" s="61" t="s">
        <v>67</v>
      </c>
      <c r="E125" s="62">
        <v>35220</v>
      </c>
      <c r="F125" s="61" t="s">
        <v>292</v>
      </c>
      <c r="G125" s="61" t="s">
        <v>53</v>
      </c>
      <c r="H125" s="63" t="s">
        <v>54</v>
      </c>
      <c r="I125" s="64" t="s">
        <v>53</v>
      </c>
      <c r="J125" s="63" t="s">
        <v>56</v>
      </c>
      <c r="K125" s="65" t="s">
        <v>57</v>
      </c>
      <c r="L125" s="66">
        <v>1235.83</v>
      </c>
      <c r="M125" s="67" t="s">
        <v>53</v>
      </c>
      <c r="N125" s="67" t="s">
        <v>59</v>
      </c>
      <c r="O125" s="67">
        <v>42.39</v>
      </c>
      <c r="P125" s="68" t="s">
        <v>53</v>
      </c>
      <c r="Q125" s="67" t="s">
        <v>60</v>
      </c>
      <c r="R125" s="67">
        <v>8.22</v>
      </c>
      <c r="S125" s="69" t="s">
        <v>61</v>
      </c>
      <c r="T125" s="69">
        <v>160000</v>
      </c>
      <c r="U125" s="69"/>
      <c r="V125" s="69" t="s">
        <v>62</v>
      </c>
      <c r="W125" s="69">
        <v>4434.11</v>
      </c>
      <c r="X125" s="69"/>
      <c r="Y125" s="69" t="s">
        <v>63</v>
      </c>
      <c r="Z125" s="69">
        <v>921</v>
      </c>
      <c r="AA125" s="69"/>
      <c r="AB125" s="70"/>
      <c r="AC125" s="69" t="s">
        <v>293</v>
      </c>
      <c r="AD125" s="69"/>
      <c r="AE125" s="71">
        <v>82204</v>
      </c>
      <c r="AF125" s="69"/>
      <c r="AG125" s="3" t="str">
        <f t="shared" si="2"/>
        <v>IanDavis</v>
      </c>
      <c r="AH125" s="3" t="str">
        <f>VLOOKUP($AG125,[1]Sheet8!$B:$G,1,0)</f>
        <v>IANDAVIS</v>
      </c>
      <c r="AI125" s="3" t="str">
        <f>VLOOKUP($AG125,[1]Sheet8!$B:$G,4,0)</f>
        <v>EE</v>
      </c>
      <c r="AJ125" s="3" t="str">
        <f>VLOOKUP($AG125,[1]Sheet8!$B:$G,5,0)</f>
        <v>L093530003</v>
      </c>
      <c r="AK125" s="3">
        <f>VLOOKUP($AG125,[1]Sheet8!$B:$G,6,0)</f>
        <v>8.22</v>
      </c>
      <c r="AL125" s="3" t="s">
        <v>53</v>
      </c>
      <c r="AM125" s="3" t="s">
        <v>57</v>
      </c>
      <c r="AN125" s="3">
        <v>1235.83</v>
      </c>
      <c r="AO125" s="3" t="s">
        <v>53</v>
      </c>
      <c r="AP125" s="3" t="s">
        <v>59</v>
      </c>
      <c r="AQ125" s="3">
        <v>42.39</v>
      </c>
      <c r="AR125" s="3" t="s">
        <v>53</v>
      </c>
      <c r="AS125" s="3" t="s">
        <v>60</v>
      </c>
      <c r="AT125" s="3">
        <v>8.22</v>
      </c>
    </row>
    <row r="126" s="3" customFormat="1" ht="15" customHeight="1" spans="1:46">
      <c r="A126" s="60">
        <v>101</v>
      </c>
      <c r="B126" s="61" t="s">
        <v>294</v>
      </c>
      <c r="C126" s="61" t="s">
        <v>295</v>
      </c>
      <c r="D126" s="61" t="s">
        <v>67</v>
      </c>
      <c r="E126" s="62">
        <v>26610</v>
      </c>
      <c r="F126" s="61">
        <v>19343</v>
      </c>
      <c r="G126" s="61" t="s">
        <v>53</v>
      </c>
      <c r="H126" s="63" t="s">
        <v>54</v>
      </c>
      <c r="I126" s="64" t="s">
        <v>53</v>
      </c>
      <c r="J126" s="63" t="s">
        <v>56</v>
      </c>
      <c r="K126" s="65" t="s">
        <v>57</v>
      </c>
      <c r="L126" s="66">
        <v>1235.83</v>
      </c>
      <c r="M126" s="67" t="s">
        <v>53</v>
      </c>
      <c r="N126" s="67" t="s">
        <v>59</v>
      </c>
      <c r="O126" s="67">
        <v>42.39</v>
      </c>
      <c r="P126" s="68" t="s">
        <v>53</v>
      </c>
      <c r="Q126" s="67" t="s">
        <v>60</v>
      </c>
      <c r="R126" s="67">
        <v>8.22</v>
      </c>
      <c r="S126" s="69" t="s">
        <v>61</v>
      </c>
      <c r="T126" s="69">
        <v>250000</v>
      </c>
      <c r="U126" s="69"/>
      <c r="V126" s="69" t="s">
        <v>62</v>
      </c>
      <c r="W126" s="69">
        <v>9669.93</v>
      </c>
      <c r="X126" s="69"/>
      <c r="Y126" s="69" t="s">
        <v>63</v>
      </c>
      <c r="Z126" s="69">
        <v>2000</v>
      </c>
      <c r="AA126" s="69"/>
      <c r="AB126" s="70"/>
      <c r="AC126" s="69" t="s">
        <v>296</v>
      </c>
      <c r="AD126" s="69"/>
      <c r="AE126" s="71">
        <v>180055</v>
      </c>
      <c r="AF126" s="69"/>
      <c r="AG126" s="3" t="str">
        <f t="shared" si="2"/>
        <v>BryanDeeney</v>
      </c>
      <c r="AH126" s="3" t="str">
        <f>VLOOKUP($AG126,[1]Sheet8!$B:$G,1,0)</f>
        <v>BRYANDEENEY</v>
      </c>
      <c r="AI126" s="3" t="str">
        <f>VLOOKUP($AG126,[1]Sheet8!$B:$G,4,0)</f>
        <v>EE</v>
      </c>
      <c r="AJ126" s="3" t="str">
        <f>VLOOKUP($AG126,[1]Sheet8!$B:$G,5,0)</f>
        <v>L093530003</v>
      </c>
      <c r="AK126" s="3">
        <f>VLOOKUP($AG126,[1]Sheet8!$B:$G,6,0)</f>
        <v>8.22</v>
      </c>
      <c r="AL126" s="3" t="s">
        <v>53</v>
      </c>
      <c r="AM126" s="3" t="s">
        <v>57</v>
      </c>
      <c r="AN126" s="3">
        <v>1235.83</v>
      </c>
      <c r="AO126" s="3" t="s">
        <v>53</v>
      </c>
      <c r="AP126" s="3" t="s">
        <v>59</v>
      </c>
      <c r="AQ126" s="3">
        <v>42.39</v>
      </c>
      <c r="AR126" s="3" t="s">
        <v>53</v>
      </c>
      <c r="AS126" s="3" t="s">
        <v>60</v>
      </c>
      <c r="AT126" s="3">
        <v>8.22</v>
      </c>
    </row>
    <row r="127" s="3" customFormat="1" ht="15" customHeight="1" spans="1:46">
      <c r="A127" s="60">
        <v>102</v>
      </c>
      <c r="B127" s="61" t="s">
        <v>132</v>
      </c>
      <c r="C127" s="61" t="s">
        <v>297</v>
      </c>
      <c r="D127" s="61" t="s">
        <v>52</v>
      </c>
      <c r="E127" s="62">
        <v>36733</v>
      </c>
      <c r="F127" s="61">
        <v>11375</v>
      </c>
      <c r="G127" s="61" t="s">
        <v>53</v>
      </c>
      <c r="H127" s="63" t="s">
        <v>54</v>
      </c>
      <c r="I127" s="64" t="s">
        <v>53</v>
      </c>
      <c r="J127" s="63" t="s">
        <v>56</v>
      </c>
      <c r="K127" s="65" t="s">
        <v>57</v>
      </c>
      <c r="L127" s="66">
        <v>1235.83</v>
      </c>
      <c r="M127" s="67" t="s">
        <v>53</v>
      </c>
      <c r="N127" s="67" t="s">
        <v>59</v>
      </c>
      <c r="O127" s="67">
        <v>42.39</v>
      </c>
      <c r="P127" s="68" t="s">
        <v>53</v>
      </c>
      <c r="Q127" s="67" t="s">
        <v>60</v>
      </c>
      <c r="R127" s="67">
        <v>8.22</v>
      </c>
      <c r="S127" s="69" t="s">
        <v>61</v>
      </c>
      <c r="T127" s="69">
        <v>180000</v>
      </c>
      <c r="U127" s="69"/>
      <c r="V127" s="69" t="s">
        <v>62</v>
      </c>
      <c r="W127" s="69">
        <v>5000.25</v>
      </c>
      <c r="X127" s="69"/>
      <c r="Y127" s="69" t="s">
        <v>63</v>
      </c>
      <c r="Z127" s="69">
        <v>1038</v>
      </c>
      <c r="AA127" s="69"/>
      <c r="AB127" s="70"/>
      <c r="AC127" s="69" t="s">
        <v>144</v>
      </c>
      <c r="AD127" s="69"/>
      <c r="AE127" s="71">
        <v>93150</v>
      </c>
      <c r="AF127" s="69"/>
      <c r="AG127" s="3" t="str">
        <f t="shared" si="2"/>
        <v>LaurenDeleon</v>
      </c>
      <c r="AH127" s="3" t="str">
        <f>VLOOKUP($AG127,[1]Sheet8!$B:$G,1,0)</f>
        <v>LAURENDELEON</v>
      </c>
      <c r="AI127" s="3" t="str">
        <f>VLOOKUP($AG127,[1]Sheet8!$B:$G,4,0)</f>
        <v>EE</v>
      </c>
      <c r="AJ127" s="3" t="str">
        <f>VLOOKUP($AG127,[1]Sheet8!$B:$G,5,0)</f>
        <v>L093530003</v>
      </c>
      <c r="AK127" s="3">
        <f>VLOOKUP($AG127,[1]Sheet8!$B:$G,6,0)</f>
        <v>8.22</v>
      </c>
      <c r="AL127" s="3" t="s">
        <v>53</v>
      </c>
      <c r="AM127" s="3" t="s">
        <v>57</v>
      </c>
      <c r="AN127" s="3">
        <v>1235.83</v>
      </c>
      <c r="AO127" s="3" t="s">
        <v>53</v>
      </c>
      <c r="AP127" s="3" t="s">
        <v>59</v>
      </c>
      <c r="AQ127" s="3">
        <v>42.39</v>
      </c>
      <c r="AR127" s="3" t="s">
        <v>53</v>
      </c>
      <c r="AS127" s="3" t="s">
        <v>60</v>
      </c>
      <c r="AT127" s="3">
        <v>8.22</v>
      </c>
    </row>
    <row r="128" s="3" customFormat="1" ht="15" customHeight="1" spans="1:46">
      <c r="A128" s="60">
        <v>103</v>
      </c>
      <c r="B128" s="61" t="s">
        <v>298</v>
      </c>
      <c r="C128" s="61" t="s">
        <v>299</v>
      </c>
      <c r="D128" s="61" t="s">
        <v>52</v>
      </c>
      <c r="E128" s="62">
        <v>25870</v>
      </c>
      <c r="F128" s="61" t="s">
        <v>300</v>
      </c>
      <c r="G128" s="61" t="s">
        <v>53</v>
      </c>
      <c r="H128" s="63" t="s">
        <v>54</v>
      </c>
      <c r="I128" s="64" t="s">
        <v>119</v>
      </c>
      <c r="J128" s="63" t="s">
        <v>56</v>
      </c>
      <c r="K128" s="65"/>
      <c r="L128" s="66"/>
      <c r="M128" s="67"/>
      <c r="N128" s="67"/>
      <c r="O128" s="67"/>
      <c r="P128" s="68"/>
      <c r="Q128" s="67"/>
      <c r="R128" s="67"/>
      <c r="S128" s="69" t="s">
        <v>61</v>
      </c>
      <c r="T128" s="69">
        <v>250000</v>
      </c>
      <c r="U128" s="69"/>
      <c r="V128" s="69" t="s">
        <v>62</v>
      </c>
      <c r="W128" s="69">
        <v>7090.41</v>
      </c>
      <c r="X128" s="69"/>
      <c r="Y128" s="69" t="s">
        <v>63</v>
      </c>
      <c r="Z128" s="69">
        <v>1473</v>
      </c>
      <c r="AA128" s="69"/>
      <c r="AB128" s="70"/>
      <c r="AC128" s="69" t="s">
        <v>95</v>
      </c>
      <c r="AD128" s="69"/>
      <c r="AE128" s="71">
        <v>131769</v>
      </c>
      <c r="AF128" s="69"/>
      <c r="AG128" s="3" t="str">
        <f t="shared" si="2"/>
        <v>CathrynDembek</v>
      </c>
      <c r="AH128" s="3" t="e">
        <f>VLOOKUP($AG128,[1]Sheet8!$B:$G,1,0)</f>
        <v>#N/A</v>
      </c>
      <c r="AI128" s="3" t="e">
        <f>VLOOKUP($AG128,[1]Sheet8!$B:$G,4,0)</f>
        <v>#N/A</v>
      </c>
      <c r="AJ128" s="3" t="e">
        <f>VLOOKUP($AG128,[1]Sheet8!$B:$G,5,0)</f>
        <v>#N/A</v>
      </c>
      <c r="AK128" s="3" t="e">
        <f>VLOOKUP($AG128,[1]Sheet8!$B:$G,6,0)</f>
        <v>#N/A</v>
      </c>
    </row>
    <row r="129" s="3" customFormat="1" ht="15" customHeight="1" spans="1:46">
      <c r="A129" s="60">
        <v>104</v>
      </c>
      <c r="B129" s="61" t="s">
        <v>301</v>
      </c>
      <c r="C129" s="61" t="s">
        <v>302</v>
      </c>
      <c r="D129" s="61" t="s">
        <v>52</v>
      </c>
      <c r="E129" s="62">
        <v>34689</v>
      </c>
      <c r="F129" s="61">
        <v>11103</v>
      </c>
      <c r="G129" s="61" t="s">
        <v>53</v>
      </c>
      <c r="H129" s="63" t="s">
        <v>54</v>
      </c>
      <c r="I129" s="64" t="s">
        <v>53</v>
      </c>
      <c r="J129" s="63" t="s">
        <v>56</v>
      </c>
      <c r="K129" s="65" t="s">
        <v>57</v>
      </c>
      <c r="L129" s="66">
        <v>1235.83</v>
      </c>
      <c r="M129" s="67" t="s">
        <v>53</v>
      </c>
      <c r="N129" s="67" t="s">
        <v>59</v>
      </c>
      <c r="O129" s="67">
        <v>42.39</v>
      </c>
      <c r="P129" s="68" t="s">
        <v>53</v>
      </c>
      <c r="Q129" s="67" t="s">
        <v>60</v>
      </c>
      <c r="R129" s="67">
        <v>8.22</v>
      </c>
      <c r="S129" s="69" t="s">
        <v>61</v>
      </c>
      <c r="T129" s="69">
        <v>170000</v>
      </c>
      <c r="U129" s="69"/>
      <c r="V129" s="69" t="s">
        <v>62</v>
      </c>
      <c r="W129" s="69">
        <v>4710.01</v>
      </c>
      <c r="X129" s="69"/>
      <c r="Y129" s="69" t="s">
        <v>63</v>
      </c>
      <c r="Z129" s="69">
        <v>978</v>
      </c>
      <c r="AA129" s="69"/>
      <c r="AB129" s="70"/>
      <c r="AC129" s="69" t="s">
        <v>303</v>
      </c>
      <c r="AD129" s="69"/>
      <c r="AE129" s="71">
        <v>84776.38</v>
      </c>
      <c r="AF129" s="69"/>
      <c r="AG129" s="3" t="str">
        <f t="shared" si="2"/>
        <v>PaulineDemirev</v>
      </c>
      <c r="AH129" s="3" t="str">
        <f>VLOOKUP($AG129,[1]Sheet8!$B:$G,1,0)</f>
        <v>PAULINEDEMIREV</v>
      </c>
      <c r="AI129" s="3" t="str">
        <f>VLOOKUP($AG129,[1]Sheet8!$B:$G,4,0)</f>
        <v>EE</v>
      </c>
      <c r="AJ129" s="3" t="str">
        <f>VLOOKUP($AG129,[1]Sheet8!$B:$G,5,0)</f>
        <v>L093530003</v>
      </c>
      <c r="AK129" s="3">
        <f>VLOOKUP($AG129,[1]Sheet8!$B:$G,6,0)</f>
        <v>8.22</v>
      </c>
      <c r="AL129" s="3" t="s">
        <v>53</v>
      </c>
      <c r="AM129" s="3" t="s">
        <v>57</v>
      </c>
      <c r="AN129" s="3">
        <v>1235.83</v>
      </c>
      <c r="AO129" s="3" t="s">
        <v>53</v>
      </c>
      <c r="AP129" s="3" t="s">
        <v>59</v>
      </c>
      <c r="AQ129" s="3">
        <v>42.39</v>
      </c>
      <c r="AR129" s="3" t="s">
        <v>53</v>
      </c>
      <c r="AS129" s="3" t="s">
        <v>60</v>
      </c>
      <c r="AT129" s="3">
        <v>8.22</v>
      </c>
    </row>
    <row r="130" s="3" customFormat="1" ht="15" customHeight="1" spans="1:46">
      <c r="A130" s="60">
        <v>105</v>
      </c>
      <c r="B130" s="61" t="s">
        <v>304</v>
      </c>
      <c r="C130" s="61" t="s">
        <v>305</v>
      </c>
      <c r="D130" s="61" t="s">
        <v>52</v>
      </c>
      <c r="E130" s="62">
        <v>34393</v>
      </c>
      <c r="F130" s="61">
        <v>28546</v>
      </c>
      <c r="G130" s="61" t="s">
        <v>53</v>
      </c>
      <c r="H130" s="63" t="s">
        <v>54</v>
      </c>
      <c r="I130" s="64" t="s">
        <v>119</v>
      </c>
      <c r="J130" s="63" t="s">
        <v>56</v>
      </c>
      <c r="K130" s="65"/>
      <c r="L130" s="66"/>
      <c r="M130" s="67"/>
      <c r="N130" s="67"/>
      <c r="O130" s="67"/>
      <c r="P130" s="68" t="s">
        <v>53</v>
      </c>
      <c r="Q130" s="67" t="s">
        <v>60</v>
      </c>
      <c r="R130" s="67">
        <v>8.22</v>
      </c>
      <c r="S130" s="69" t="s">
        <v>61</v>
      </c>
      <c r="T130" s="69">
        <v>170000</v>
      </c>
      <c r="U130" s="69"/>
      <c r="V130" s="69" t="s">
        <v>62</v>
      </c>
      <c r="W130" s="69">
        <v>4722.46</v>
      </c>
      <c r="X130" s="69"/>
      <c r="Y130" s="69" t="s">
        <v>63</v>
      </c>
      <c r="Z130" s="69">
        <v>981</v>
      </c>
      <c r="AA130" s="69"/>
      <c r="AB130" s="70"/>
      <c r="AC130" s="69" t="s">
        <v>306</v>
      </c>
      <c r="AD130" s="69"/>
      <c r="AE130" s="71">
        <v>86700</v>
      </c>
      <c r="AF130" s="69"/>
      <c r="AG130" s="3" t="str">
        <f t="shared" si="2"/>
        <v>SavanaDempich</v>
      </c>
      <c r="AH130" s="3" t="str">
        <f>VLOOKUP($AG130,[1]Sheet8!$B:$G,1,0)</f>
        <v>SAVANADEMPICH</v>
      </c>
      <c r="AI130" s="3" t="str">
        <f>VLOOKUP($AG130,[1]Sheet8!$B:$G,4,0)</f>
        <v>EE</v>
      </c>
      <c r="AJ130" s="3" t="str">
        <f>VLOOKUP($AG130,[1]Sheet8!$B:$G,5,0)</f>
        <v>L093530003</v>
      </c>
      <c r="AK130" s="3">
        <f>VLOOKUP($AG130,[1]Sheet8!$B:$G,6,0)</f>
        <v>8.22</v>
      </c>
      <c r="AR130" s="3" t="s">
        <v>53</v>
      </c>
      <c r="AS130" s="3" t="s">
        <v>60</v>
      </c>
      <c r="AT130" s="3">
        <v>8.22</v>
      </c>
    </row>
    <row r="131" s="3" customFormat="1" ht="15" customHeight="1" spans="1:46">
      <c r="A131" s="60">
        <v>106</v>
      </c>
      <c r="B131" s="61" t="s">
        <v>307</v>
      </c>
      <c r="C131" s="61" t="s">
        <v>308</v>
      </c>
      <c r="D131" s="61" t="s">
        <v>67</v>
      </c>
      <c r="E131" s="62">
        <v>36181</v>
      </c>
      <c r="F131" s="61">
        <v>94115</v>
      </c>
      <c r="G131" s="61" t="s">
        <v>53</v>
      </c>
      <c r="H131" s="63" t="s">
        <v>54</v>
      </c>
      <c r="I131" s="64" t="s">
        <v>53</v>
      </c>
      <c r="J131" s="63" t="s">
        <v>56</v>
      </c>
      <c r="K131" s="65" t="s">
        <v>82</v>
      </c>
      <c r="L131" s="66">
        <v>781.79</v>
      </c>
      <c r="M131" s="67" t="s">
        <v>53</v>
      </c>
      <c r="N131" s="67" t="s">
        <v>59</v>
      </c>
      <c r="O131" s="67">
        <v>42.39</v>
      </c>
      <c r="P131" s="68" t="s">
        <v>53</v>
      </c>
      <c r="Q131" s="67" t="s">
        <v>60</v>
      </c>
      <c r="R131" s="67">
        <v>8.22</v>
      </c>
      <c r="S131" s="69" t="s">
        <v>61</v>
      </c>
      <c r="T131" s="69">
        <v>150000</v>
      </c>
      <c r="U131" s="69"/>
      <c r="V131" s="69" t="s">
        <v>62</v>
      </c>
      <c r="W131" s="69">
        <v>4166.88</v>
      </c>
      <c r="X131" s="69"/>
      <c r="Y131" s="69" t="s">
        <v>63</v>
      </c>
      <c r="Z131" s="69">
        <v>865</v>
      </c>
      <c r="AA131" s="69"/>
      <c r="AB131" s="70"/>
      <c r="AC131" s="69" t="s">
        <v>201</v>
      </c>
      <c r="AD131" s="69"/>
      <c r="AE131" s="71">
        <v>77063</v>
      </c>
      <c r="AF131" s="69"/>
      <c r="AG131" s="3" t="str">
        <f t="shared" ref="AG131:AG138" si="3">B131&amp;C131</f>
        <v>PierreDerbier</v>
      </c>
      <c r="AH131" s="3" t="str">
        <f>VLOOKUP($AG131,[1]Sheet8!$B:$G,1,0)</f>
        <v>PIERREDERBIER</v>
      </c>
      <c r="AI131" s="3" t="str">
        <f>VLOOKUP($AG131,[1]Sheet8!$B:$G,4,0)</f>
        <v>EE</v>
      </c>
      <c r="AJ131" s="3" t="str">
        <f>VLOOKUP($AG131,[1]Sheet8!$B:$G,5,0)</f>
        <v>L093530003</v>
      </c>
      <c r="AK131" s="3">
        <f>VLOOKUP($AG131,[1]Sheet8!$B:$G,6,0)</f>
        <v>8.22</v>
      </c>
      <c r="AL131" s="3" t="s">
        <v>53</v>
      </c>
      <c r="AM131" s="3" t="s">
        <v>82</v>
      </c>
      <c r="AN131" s="3">
        <v>781.79</v>
      </c>
      <c r="AO131" s="3" t="s">
        <v>53</v>
      </c>
      <c r="AP131" s="3" t="s">
        <v>59</v>
      </c>
      <c r="AQ131" s="3">
        <v>42.39</v>
      </c>
      <c r="AR131" s="3" t="s">
        <v>53</v>
      </c>
      <c r="AS131" s="3" t="s">
        <v>60</v>
      </c>
      <c r="AT131" s="3">
        <v>8.22</v>
      </c>
    </row>
    <row r="132" s="3" customFormat="1" ht="15" customHeight="1" spans="1:46">
      <c r="A132" s="60">
        <v>107</v>
      </c>
      <c r="B132" s="61" t="s">
        <v>309</v>
      </c>
      <c r="C132" s="61" t="s">
        <v>310</v>
      </c>
      <c r="D132" s="61" t="s">
        <v>52</v>
      </c>
      <c r="E132" s="62">
        <v>37285</v>
      </c>
      <c r="F132" s="61">
        <v>10016</v>
      </c>
      <c r="G132" s="61" t="s">
        <v>53</v>
      </c>
      <c r="H132" s="63" t="s">
        <v>54</v>
      </c>
      <c r="I132" s="64" t="s">
        <v>119</v>
      </c>
      <c r="J132" s="63" t="s">
        <v>56</v>
      </c>
      <c r="K132" s="65"/>
      <c r="L132" s="66"/>
      <c r="M132" s="67"/>
      <c r="N132" s="67"/>
      <c r="O132" s="67"/>
      <c r="P132" s="68"/>
      <c r="Q132" s="67"/>
      <c r="R132" s="67"/>
      <c r="S132" s="69" t="s">
        <v>61</v>
      </c>
      <c r="T132" s="69">
        <v>129000</v>
      </c>
      <c r="U132" s="69"/>
      <c r="V132" s="69" t="s">
        <v>62</v>
      </c>
      <c r="W132" s="69">
        <v>3575.18</v>
      </c>
      <c r="X132" s="69"/>
      <c r="Y132" s="69" t="s">
        <v>63</v>
      </c>
      <c r="Z132" s="69">
        <v>743</v>
      </c>
      <c r="AA132" s="69"/>
      <c r="AB132" s="70"/>
      <c r="AC132" s="69" t="s">
        <v>138</v>
      </c>
      <c r="AD132" s="69"/>
      <c r="AE132" s="71">
        <v>64350</v>
      </c>
      <c r="AF132" s="69"/>
      <c r="AG132" s="3" t="str">
        <f t="shared" si="3"/>
        <v>EeshaDesai</v>
      </c>
      <c r="AH132" s="3" t="e">
        <f>VLOOKUP($AG132,[1]Sheet8!$B:$G,1,0)</f>
        <v>#N/A</v>
      </c>
      <c r="AI132" s="3" t="e">
        <f>VLOOKUP($AG132,[1]Sheet8!$B:$G,4,0)</f>
        <v>#N/A</v>
      </c>
      <c r="AJ132" s="3" t="e">
        <f>VLOOKUP($AG132,[1]Sheet8!$B:$G,5,0)</f>
        <v>#N/A</v>
      </c>
      <c r="AK132" s="3" t="e">
        <f>VLOOKUP($AG132,[1]Sheet8!$B:$G,6,0)</f>
        <v>#N/A</v>
      </c>
    </row>
    <row r="133" s="3" customFormat="1" ht="15" customHeight="1" spans="1:46">
      <c r="A133" s="60">
        <v>108</v>
      </c>
      <c r="B133" s="61" t="s">
        <v>311</v>
      </c>
      <c r="C133" s="61" t="s">
        <v>312</v>
      </c>
      <c r="D133" s="61" t="s">
        <v>67</v>
      </c>
      <c r="E133" s="62">
        <v>29705</v>
      </c>
      <c r="F133" s="61">
        <v>78504</v>
      </c>
      <c r="G133" s="61" t="s">
        <v>53</v>
      </c>
      <c r="H133" s="63" t="s">
        <v>54</v>
      </c>
      <c r="I133" s="64" t="s">
        <v>53</v>
      </c>
      <c r="J133" s="63" t="s">
        <v>56</v>
      </c>
      <c r="K133" s="65" t="s">
        <v>82</v>
      </c>
      <c r="L133" s="66">
        <v>781.79</v>
      </c>
      <c r="M133" s="67" t="s">
        <v>53</v>
      </c>
      <c r="N133" s="67" t="s">
        <v>59</v>
      </c>
      <c r="O133" s="67">
        <v>42.39</v>
      </c>
      <c r="P133" s="68" t="s">
        <v>53</v>
      </c>
      <c r="Q133" s="67" t="s">
        <v>60</v>
      </c>
      <c r="R133" s="67">
        <v>8.22</v>
      </c>
      <c r="S133" s="69" t="s">
        <v>61</v>
      </c>
      <c r="T133" s="69">
        <v>250000</v>
      </c>
      <c r="U133" s="69"/>
      <c r="V133" s="69" t="s">
        <v>62</v>
      </c>
      <c r="W133" s="69">
        <v>8935.89</v>
      </c>
      <c r="X133" s="69"/>
      <c r="Y133" s="69" t="s">
        <v>63</v>
      </c>
      <c r="Z133" s="69">
        <v>1856</v>
      </c>
      <c r="AA133" s="69"/>
      <c r="AB133" s="70"/>
      <c r="AC133" s="69" t="s">
        <v>313</v>
      </c>
      <c r="AD133" s="69"/>
      <c r="AE133" s="71">
        <v>165663</v>
      </c>
      <c r="AF133" s="69"/>
      <c r="AG133" s="3" t="str">
        <f t="shared" si="3"/>
        <v>DidierDeshommes</v>
      </c>
      <c r="AH133" s="3" t="str">
        <f>VLOOKUP($AG133,[1]Sheet8!$B:$G,1,0)</f>
        <v>DIDIERDESHOMMES</v>
      </c>
      <c r="AI133" s="3" t="str">
        <f>VLOOKUP($AG133,[1]Sheet8!$B:$G,4,0)</f>
        <v>EE</v>
      </c>
      <c r="AJ133" s="3" t="str">
        <f>VLOOKUP($AG133,[1]Sheet8!$B:$G,5,0)</f>
        <v>L093530003</v>
      </c>
      <c r="AK133" s="3">
        <f>VLOOKUP($AG133,[1]Sheet8!$B:$G,6,0)</f>
        <v>8.22</v>
      </c>
      <c r="AL133" s="3" t="s">
        <v>53</v>
      </c>
      <c r="AM133" s="3" t="s">
        <v>82</v>
      </c>
      <c r="AN133" s="3">
        <v>781.79</v>
      </c>
      <c r="AO133" s="3" t="s">
        <v>53</v>
      </c>
      <c r="AP133" s="3" t="s">
        <v>59</v>
      </c>
      <c r="AQ133" s="3">
        <v>42.39</v>
      </c>
      <c r="AR133" s="3" t="s">
        <v>53</v>
      </c>
      <c r="AS133" s="3" t="s">
        <v>60</v>
      </c>
      <c r="AT133" s="3">
        <v>8.22</v>
      </c>
    </row>
    <row r="134" s="3" customFormat="1" ht="15" customHeight="1" spans="1:46">
      <c r="A134" s="60">
        <v>109</v>
      </c>
      <c r="B134" s="61" t="s">
        <v>314</v>
      </c>
      <c r="C134" s="61" t="s">
        <v>315</v>
      </c>
      <c r="D134" s="61" t="s">
        <v>67</v>
      </c>
      <c r="E134" s="62">
        <v>37665</v>
      </c>
      <c r="F134" s="61">
        <v>11211</v>
      </c>
      <c r="G134" s="61" t="s">
        <v>53</v>
      </c>
      <c r="H134" s="63" t="s">
        <v>54</v>
      </c>
      <c r="I134" s="64" t="s">
        <v>119</v>
      </c>
      <c r="J134" s="63" t="s">
        <v>56</v>
      </c>
      <c r="K134" s="65"/>
      <c r="L134" s="66"/>
      <c r="M134" s="67"/>
      <c r="N134" s="67"/>
      <c r="O134" s="67"/>
      <c r="P134" s="68"/>
      <c r="Q134" s="67"/>
      <c r="R134" s="67"/>
      <c r="S134" s="69" t="s">
        <v>61</v>
      </c>
      <c r="T134" s="69">
        <v>129000</v>
      </c>
      <c r="U134" s="69"/>
      <c r="V134" s="69" t="s">
        <v>62</v>
      </c>
      <c r="W134" s="69">
        <v>3575.18</v>
      </c>
      <c r="X134" s="69"/>
      <c r="Y134" s="69" t="s">
        <v>63</v>
      </c>
      <c r="Z134" s="69">
        <v>743</v>
      </c>
      <c r="AA134" s="69"/>
      <c r="AB134" s="70"/>
      <c r="AC134" s="69" t="s">
        <v>138</v>
      </c>
      <c r="AD134" s="69"/>
      <c r="AE134" s="71">
        <v>64350</v>
      </c>
      <c r="AF134" s="69"/>
      <c r="AG134" s="3" t="str">
        <f t="shared" si="3"/>
        <v>NoahDeYoung</v>
      </c>
      <c r="AH134" s="3" t="e">
        <f>VLOOKUP($AG134,[1]Sheet8!$B:$G,1,0)</f>
        <v>#N/A</v>
      </c>
      <c r="AI134" s="3" t="e">
        <f>VLOOKUP($AG134,[1]Sheet8!$B:$G,4,0)</f>
        <v>#N/A</v>
      </c>
      <c r="AJ134" s="3" t="e">
        <f>VLOOKUP($AG134,[1]Sheet8!$B:$G,5,0)</f>
        <v>#N/A</v>
      </c>
      <c r="AK134" s="3" t="e">
        <f>VLOOKUP($AG134,[1]Sheet8!$B:$G,6,0)</f>
        <v>#N/A</v>
      </c>
    </row>
    <row r="135" s="3" customFormat="1" ht="15" customHeight="1" spans="1:46">
      <c r="A135" s="60">
        <v>110</v>
      </c>
      <c r="B135" s="61" t="s">
        <v>316</v>
      </c>
      <c r="C135" s="61" t="s">
        <v>317</v>
      </c>
      <c r="D135" s="61" t="s">
        <v>67</v>
      </c>
      <c r="E135" s="62">
        <v>35517</v>
      </c>
      <c r="F135" s="61">
        <v>95991</v>
      </c>
      <c r="G135" s="61" t="s">
        <v>53</v>
      </c>
      <c r="H135" s="63" t="s">
        <v>54</v>
      </c>
      <c r="I135" s="64" t="s">
        <v>53</v>
      </c>
      <c r="J135" s="63" t="s">
        <v>56</v>
      </c>
      <c r="K135" s="65" t="s">
        <v>57</v>
      </c>
      <c r="L135" s="66">
        <v>1235.83</v>
      </c>
      <c r="M135" s="67" t="s">
        <v>53</v>
      </c>
      <c r="N135" s="67" t="s">
        <v>59</v>
      </c>
      <c r="O135" s="67">
        <v>42.39</v>
      </c>
      <c r="P135" s="68" t="s">
        <v>53</v>
      </c>
      <c r="Q135" s="67" t="s">
        <v>60</v>
      </c>
      <c r="R135" s="67">
        <v>8.22</v>
      </c>
      <c r="S135" s="69" t="s">
        <v>61</v>
      </c>
      <c r="T135" s="69">
        <v>150000</v>
      </c>
      <c r="U135" s="69"/>
      <c r="V135" s="69" t="s">
        <v>62</v>
      </c>
      <c r="W135" s="69">
        <v>4166.88</v>
      </c>
      <c r="X135" s="69"/>
      <c r="Y135" s="69" t="s">
        <v>63</v>
      </c>
      <c r="Z135" s="69">
        <v>865</v>
      </c>
      <c r="AA135" s="69"/>
      <c r="AB135" s="70"/>
      <c r="AC135" s="69" t="s">
        <v>201</v>
      </c>
      <c r="AD135" s="69"/>
      <c r="AE135" s="71">
        <v>77250</v>
      </c>
      <c r="AF135" s="69"/>
      <c r="AG135" s="3" t="str">
        <f t="shared" si="3"/>
        <v>AthamjitDhaddey</v>
      </c>
      <c r="AH135" s="3" t="str">
        <f>VLOOKUP($AG135,[1]Sheet8!$B:$G,1,0)</f>
        <v>ATHAMJITDHADDEY</v>
      </c>
      <c r="AI135" s="3" t="str">
        <f>VLOOKUP($AG135,[1]Sheet8!$B:$G,4,0)</f>
        <v>EE</v>
      </c>
      <c r="AJ135" s="3" t="str">
        <f>VLOOKUP($AG135,[1]Sheet8!$B:$G,5,0)</f>
        <v>L093530003</v>
      </c>
      <c r="AK135" s="3">
        <f>VLOOKUP($AG135,[1]Sheet8!$B:$G,6,0)</f>
        <v>8.22</v>
      </c>
      <c r="AL135" s="3" t="s">
        <v>53</v>
      </c>
      <c r="AM135" s="3" t="s">
        <v>57</v>
      </c>
      <c r="AN135" s="3">
        <v>1235.83</v>
      </c>
      <c r="AO135" s="3" t="s">
        <v>53</v>
      </c>
      <c r="AP135" s="3" t="s">
        <v>59</v>
      </c>
      <c r="AQ135" s="3">
        <v>42.39</v>
      </c>
      <c r="AR135" s="3" t="s">
        <v>53</v>
      </c>
      <c r="AS135" s="3" t="s">
        <v>60</v>
      </c>
      <c r="AT135" s="3">
        <v>8.22</v>
      </c>
    </row>
    <row r="136" s="3" customFormat="1" ht="15" customHeight="1" spans="1:46">
      <c r="A136" s="60">
        <v>111</v>
      </c>
      <c r="B136" s="61" t="s">
        <v>318</v>
      </c>
      <c r="C136" s="61" t="s">
        <v>319</v>
      </c>
      <c r="D136" s="61" t="s">
        <v>67</v>
      </c>
      <c r="E136" s="62">
        <v>33347</v>
      </c>
      <c r="F136" s="61">
        <v>60618</v>
      </c>
      <c r="G136" s="61" t="s">
        <v>53</v>
      </c>
      <c r="H136" s="63" t="s">
        <v>54</v>
      </c>
      <c r="I136" s="64" t="s">
        <v>53</v>
      </c>
      <c r="J136" s="63" t="s">
        <v>56</v>
      </c>
      <c r="K136" s="65" t="s">
        <v>57</v>
      </c>
      <c r="L136" s="66">
        <v>1235.83</v>
      </c>
      <c r="M136" s="67" t="s">
        <v>53</v>
      </c>
      <c r="N136" s="67" t="s">
        <v>59</v>
      </c>
      <c r="O136" s="67">
        <v>42.39</v>
      </c>
      <c r="P136" s="68" t="s">
        <v>53</v>
      </c>
      <c r="Q136" s="67" t="s">
        <v>60</v>
      </c>
      <c r="R136" s="67">
        <v>8.22</v>
      </c>
      <c r="S136" s="69" t="s">
        <v>61</v>
      </c>
      <c r="T136" s="69">
        <v>163000</v>
      </c>
      <c r="U136" s="69"/>
      <c r="V136" s="69" t="s">
        <v>62</v>
      </c>
      <c r="W136" s="69">
        <v>4524.12</v>
      </c>
      <c r="X136" s="69"/>
      <c r="Y136" s="69" t="s">
        <v>63</v>
      </c>
      <c r="Z136" s="69">
        <v>940</v>
      </c>
      <c r="AA136" s="69"/>
      <c r="AB136" s="70"/>
      <c r="AC136" s="69" t="s">
        <v>201</v>
      </c>
      <c r="AD136" s="69"/>
      <c r="AE136" s="71">
        <v>83710</v>
      </c>
      <c r="AF136" s="69"/>
      <c r="AG136" s="3" t="str">
        <f t="shared" si="3"/>
        <v>KeithDow</v>
      </c>
      <c r="AH136" s="3" t="str">
        <f>VLOOKUP($AG136,[1]Sheet8!$B:$G,1,0)</f>
        <v>KEITHDOW</v>
      </c>
      <c r="AI136" s="3" t="str">
        <f>VLOOKUP($AG136,[1]Sheet8!$B:$G,4,0)</f>
        <v>EE</v>
      </c>
      <c r="AJ136" s="3" t="str">
        <f>VLOOKUP($AG136,[1]Sheet8!$B:$G,5,0)</f>
        <v>L093530003</v>
      </c>
      <c r="AK136" s="3">
        <f>VLOOKUP($AG136,[1]Sheet8!$B:$G,6,0)</f>
        <v>8.22</v>
      </c>
      <c r="AL136" s="3" t="s">
        <v>53</v>
      </c>
      <c r="AM136" s="3" t="s">
        <v>57</v>
      </c>
      <c r="AN136" s="3">
        <v>1235.83</v>
      </c>
      <c r="AO136" s="3" t="s">
        <v>53</v>
      </c>
      <c r="AP136" s="3" t="s">
        <v>59</v>
      </c>
      <c r="AQ136" s="3">
        <v>42.39</v>
      </c>
      <c r="AR136" s="3" t="s">
        <v>53</v>
      </c>
      <c r="AS136" s="3" t="s">
        <v>60</v>
      </c>
      <c r="AT136" s="3">
        <v>8.22</v>
      </c>
    </row>
    <row r="137" s="3" customFormat="1" ht="15" customHeight="1" spans="1:46">
      <c r="A137" s="60">
        <v>112</v>
      </c>
      <c r="B137" s="61" t="s">
        <v>320</v>
      </c>
      <c r="C137" s="61" t="s">
        <v>321</v>
      </c>
      <c r="D137" s="61" t="s">
        <v>67</v>
      </c>
      <c r="E137" s="62">
        <v>35983</v>
      </c>
      <c r="F137" s="61">
        <v>33967</v>
      </c>
      <c r="G137" s="61" t="s">
        <v>53</v>
      </c>
      <c r="H137" s="63" t="s">
        <v>54</v>
      </c>
      <c r="I137" s="64" t="s">
        <v>53</v>
      </c>
      <c r="J137" s="63" t="s">
        <v>56</v>
      </c>
      <c r="K137" s="65" t="s">
        <v>82</v>
      </c>
      <c r="L137" s="66">
        <v>781.79</v>
      </c>
      <c r="M137" s="67"/>
      <c r="N137" s="67"/>
      <c r="O137" s="67"/>
      <c r="P137" s="68"/>
      <c r="Q137" s="67"/>
      <c r="R137" s="67"/>
      <c r="S137" s="69" t="s">
        <v>61</v>
      </c>
      <c r="T137" s="69">
        <v>166000</v>
      </c>
      <c r="U137" s="69"/>
      <c r="V137" s="69" t="s">
        <v>62</v>
      </c>
      <c r="W137" s="69">
        <v>4611.34</v>
      </c>
      <c r="X137" s="69"/>
      <c r="Y137" s="69" t="s">
        <v>63</v>
      </c>
      <c r="Z137" s="69">
        <v>958</v>
      </c>
      <c r="AA137" s="69"/>
      <c r="AB137" s="70"/>
      <c r="AC137" s="69" t="s">
        <v>228</v>
      </c>
      <c r="AD137" s="69"/>
      <c r="AE137" s="71">
        <v>83000</v>
      </c>
      <c r="AF137" s="69"/>
      <c r="AG137" s="3" t="str">
        <f t="shared" si="3"/>
        <v>PaulDuguay</v>
      </c>
      <c r="AH137" s="3" t="e">
        <f>VLOOKUP($AG137,[1]Sheet8!$B:$G,1,0)</f>
        <v>#N/A</v>
      </c>
      <c r="AI137" s="3" t="e">
        <f>VLOOKUP($AG137,[1]Sheet8!$B:$G,4,0)</f>
        <v>#N/A</v>
      </c>
      <c r="AJ137" s="3" t="e">
        <f>VLOOKUP($AG137,[1]Sheet8!$B:$G,5,0)</f>
        <v>#N/A</v>
      </c>
      <c r="AK137" s="3" t="e">
        <f>VLOOKUP($AG137,[1]Sheet8!$B:$G,6,0)</f>
        <v>#N/A</v>
      </c>
      <c r="AL137" s="3" t="s">
        <v>53</v>
      </c>
      <c r="AM137" s="3" t="s">
        <v>82</v>
      </c>
      <c r="AN137" s="3">
        <v>781.79</v>
      </c>
    </row>
    <row r="138" s="3" customFormat="1" ht="15" customHeight="1" spans="1:46">
      <c r="A138" s="60">
        <v>113</v>
      </c>
      <c r="B138" s="61" t="s">
        <v>322</v>
      </c>
      <c r="C138" s="61" t="s">
        <v>323</v>
      </c>
      <c r="D138" s="61" t="s">
        <v>67</v>
      </c>
      <c r="E138" s="62">
        <v>24729</v>
      </c>
      <c r="F138" s="61">
        <v>97111</v>
      </c>
      <c r="G138" s="61" t="s">
        <v>53</v>
      </c>
      <c r="H138" s="63" t="s">
        <v>54</v>
      </c>
      <c r="I138" s="64" t="s">
        <v>81</v>
      </c>
      <c r="J138" s="63" t="s">
        <v>56</v>
      </c>
      <c r="K138" s="65" t="s">
        <v>57</v>
      </c>
      <c r="L138" s="66">
        <v>2718.81</v>
      </c>
      <c r="M138" s="67" t="s">
        <v>81</v>
      </c>
      <c r="N138" s="67" t="s">
        <v>59</v>
      </c>
      <c r="O138" s="67">
        <v>84.72</v>
      </c>
      <c r="P138" s="68" t="s">
        <v>81</v>
      </c>
      <c r="Q138" s="67" t="s">
        <v>60</v>
      </c>
      <c r="R138" s="67">
        <v>16.48</v>
      </c>
      <c r="S138" s="69" t="s">
        <v>61</v>
      </c>
      <c r="T138" s="69">
        <v>250000</v>
      </c>
      <c r="U138" s="69"/>
      <c r="V138" s="69" t="s">
        <v>62</v>
      </c>
      <c r="W138" s="69">
        <v>10000</v>
      </c>
      <c r="X138" s="69"/>
      <c r="Y138" s="69" t="s">
        <v>63</v>
      </c>
      <c r="Z138" s="69">
        <v>2000</v>
      </c>
      <c r="AA138" s="69"/>
      <c r="AB138" s="70"/>
      <c r="AC138" s="69" t="s">
        <v>324</v>
      </c>
      <c r="AD138" s="69"/>
      <c r="AE138" s="71">
        <v>255257</v>
      </c>
      <c r="AF138" s="69"/>
      <c r="AG138" s="3" t="str">
        <f t="shared" si="3"/>
        <v>ToddDupey</v>
      </c>
      <c r="AH138" s="3" t="str">
        <f>VLOOKUP($AG138,[1]Sheet8!$B:$G,1,0)</f>
        <v>TODDDUPEY</v>
      </c>
      <c r="AI138" s="3" t="str">
        <f>VLOOKUP($AG138,[1]Sheet8!$B:$G,4,0)</f>
        <v>ES</v>
      </c>
      <c r="AJ138" s="3" t="str">
        <f>VLOOKUP($AG138,[1]Sheet8!$B:$G,5,0)</f>
        <v>L093530003</v>
      </c>
      <c r="AK138" s="3">
        <f>VLOOKUP($AG138,[1]Sheet8!$B:$G,6,0)</f>
        <v>16.48</v>
      </c>
      <c r="AL138" s="3" t="s">
        <v>81</v>
      </c>
      <c r="AM138" s="3" t="s">
        <v>57</v>
      </c>
      <c r="AN138" s="3">
        <v>2718.81</v>
      </c>
      <c r="AO138" s="3" t="s">
        <v>81</v>
      </c>
      <c r="AP138" s="3" t="s">
        <v>59</v>
      </c>
      <c r="AQ138" s="3">
        <v>84.72</v>
      </c>
      <c r="AR138" s="3" t="s">
        <v>81</v>
      </c>
      <c r="AS138" s="3" t="s">
        <v>60</v>
      </c>
      <c r="AT138" s="3">
        <v>16.48</v>
      </c>
    </row>
    <row r="139" s="3" customFormat="1" ht="15" customHeight="1" spans="1:46">
      <c r="A139" s="60">
        <v>114</v>
      </c>
      <c r="B139" s="61" t="s">
        <v>325</v>
      </c>
      <c r="C139" s="61" t="s">
        <v>196</v>
      </c>
      <c r="D139" s="61" t="s">
        <v>52</v>
      </c>
      <c r="E139" s="62">
        <v>24788</v>
      </c>
      <c r="F139" s="61">
        <v>97111</v>
      </c>
      <c r="G139" s="61" t="s">
        <v>85</v>
      </c>
      <c r="H139" s="63">
        <v>113</v>
      </c>
      <c r="I139" s="64" t="s">
        <v>81</v>
      </c>
      <c r="J139" s="63" t="s">
        <v>56</v>
      </c>
      <c r="K139" s="65"/>
      <c r="L139" s="66"/>
      <c r="M139" s="67"/>
      <c r="N139" s="67"/>
      <c r="O139" s="67"/>
      <c r="P139" s="68"/>
      <c r="Q139" s="67"/>
      <c r="R139" s="67"/>
      <c r="S139" s="69"/>
      <c r="T139" s="69"/>
      <c r="U139" s="69"/>
      <c r="V139" s="69"/>
      <c r="W139" s="69"/>
      <c r="X139" s="69"/>
      <c r="Y139" s="69"/>
      <c r="Z139" s="69"/>
      <c r="AA139" s="69"/>
      <c r="AB139" s="70"/>
      <c r="AC139" s="69"/>
      <c r="AD139" s="69"/>
      <c r="AE139" s="71"/>
      <c r="AF139" s="69"/>
    </row>
    <row r="140" s="3" customFormat="1" ht="15" customHeight="1" spans="1:46">
      <c r="A140" s="60">
        <v>115</v>
      </c>
      <c r="B140" s="61" t="s">
        <v>215</v>
      </c>
      <c r="C140" s="61" t="s">
        <v>326</v>
      </c>
      <c r="D140" s="61" t="s">
        <v>67</v>
      </c>
      <c r="E140" s="62">
        <v>25331</v>
      </c>
      <c r="F140" s="61">
        <v>10023</v>
      </c>
      <c r="G140" s="61" t="s">
        <v>53</v>
      </c>
      <c r="H140" s="63" t="s">
        <v>54</v>
      </c>
      <c r="I140" s="64" t="s">
        <v>119</v>
      </c>
      <c r="J140" s="63" t="s">
        <v>56</v>
      </c>
      <c r="K140" s="65"/>
      <c r="L140" s="66"/>
      <c r="M140" s="67"/>
      <c r="N140" s="67"/>
      <c r="O140" s="67"/>
      <c r="P140" s="68"/>
      <c r="Q140" s="67"/>
      <c r="R140" s="67"/>
      <c r="S140" s="69" t="s">
        <v>61</v>
      </c>
      <c r="T140" s="69">
        <v>250000</v>
      </c>
      <c r="U140" s="69"/>
      <c r="V140" s="69" t="s">
        <v>62</v>
      </c>
      <c r="W140" s="69">
        <v>8624.38</v>
      </c>
      <c r="X140" s="69"/>
      <c r="Y140" s="69" t="s">
        <v>63</v>
      </c>
      <c r="Z140" s="69">
        <v>1791</v>
      </c>
      <c r="AA140" s="69"/>
      <c r="AB140" s="70"/>
      <c r="AC140" s="69" t="s">
        <v>327</v>
      </c>
      <c r="AD140" s="69"/>
      <c r="AE140" s="71">
        <v>159888</v>
      </c>
      <c r="AF140" s="69"/>
      <c r="AG140" s="3" t="str">
        <f t="shared" ref="AG140:AG148" si="4">B140&amp;C140</f>
        <v>DavidEastman</v>
      </c>
      <c r="AH140" s="3" t="e">
        <f>VLOOKUP($AG140,[1]Sheet8!$B:$G,1,0)</f>
        <v>#N/A</v>
      </c>
      <c r="AI140" s="3" t="e">
        <f>VLOOKUP($AG140,[1]Sheet8!$B:$G,4,0)</f>
        <v>#N/A</v>
      </c>
      <c r="AJ140" s="3" t="e">
        <f>VLOOKUP($AG140,[1]Sheet8!$B:$G,5,0)</f>
        <v>#N/A</v>
      </c>
      <c r="AK140" s="3" t="e">
        <f>VLOOKUP($AG140,[1]Sheet8!$B:$G,6,0)</f>
        <v>#N/A</v>
      </c>
    </row>
    <row r="141" s="3" customFormat="1" ht="15" customHeight="1" spans="1:46">
      <c r="A141" s="60">
        <v>116</v>
      </c>
      <c r="B141" s="61" t="s">
        <v>328</v>
      </c>
      <c r="C141" s="61" t="s">
        <v>329</v>
      </c>
      <c r="D141" s="61" t="s">
        <v>67</v>
      </c>
      <c r="E141" s="62">
        <v>33962</v>
      </c>
      <c r="F141" s="61">
        <v>27605</v>
      </c>
      <c r="G141" s="61" t="s">
        <v>53</v>
      </c>
      <c r="H141" s="63" t="s">
        <v>54</v>
      </c>
      <c r="I141" s="64" t="s">
        <v>53</v>
      </c>
      <c r="J141" s="63" t="s">
        <v>56</v>
      </c>
      <c r="K141" s="65" t="s">
        <v>57</v>
      </c>
      <c r="L141" s="66">
        <v>1235.83</v>
      </c>
      <c r="M141" s="67" t="s">
        <v>53</v>
      </c>
      <c r="N141" s="67" t="s">
        <v>59</v>
      </c>
      <c r="O141" s="67">
        <v>42.39</v>
      </c>
      <c r="P141" s="68"/>
      <c r="Q141" s="67"/>
      <c r="R141" s="67"/>
      <c r="S141" s="69" t="s">
        <v>61</v>
      </c>
      <c r="T141" s="69">
        <v>182000</v>
      </c>
      <c r="U141" s="69"/>
      <c r="V141" s="69" t="s">
        <v>62</v>
      </c>
      <c r="W141" s="69">
        <v>5055.81</v>
      </c>
      <c r="X141" s="69"/>
      <c r="Y141" s="69" t="s">
        <v>63</v>
      </c>
      <c r="Z141" s="69">
        <v>1050</v>
      </c>
      <c r="AA141" s="69"/>
      <c r="AB141" s="70"/>
      <c r="AC141" s="69" t="s">
        <v>330</v>
      </c>
      <c r="AD141" s="69"/>
      <c r="AE141" s="71">
        <v>95000</v>
      </c>
      <c r="AF141" s="69"/>
      <c r="AG141" s="3" t="str">
        <f t="shared" si="4"/>
        <v>JEhlinger</v>
      </c>
      <c r="AH141" s="3" t="e">
        <f>VLOOKUP($AG141,[1]Sheet8!$B:$G,1,0)</f>
        <v>#N/A</v>
      </c>
      <c r="AI141" s="3" t="e">
        <f>VLOOKUP($AG141,[1]Sheet8!$B:$G,4,0)</f>
        <v>#N/A</v>
      </c>
      <c r="AJ141" s="3" t="e">
        <f>VLOOKUP($AG141,[1]Sheet8!$B:$G,5,0)</f>
        <v>#N/A</v>
      </c>
      <c r="AK141" s="3" t="e">
        <f>VLOOKUP($AG141,[1]Sheet8!$B:$G,6,0)</f>
        <v>#N/A</v>
      </c>
      <c r="AL141" s="3" t="s">
        <v>53</v>
      </c>
      <c r="AM141" s="3" t="s">
        <v>57</v>
      </c>
      <c r="AN141" s="3">
        <v>1235.83</v>
      </c>
      <c r="AO141" s="3" t="s">
        <v>53</v>
      </c>
      <c r="AP141" s="3" t="s">
        <v>59</v>
      </c>
      <c r="AQ141" s="3">
        <v>42.39</v>
      </c>
    </row>
    <row r="142" s="3" customFormat="1" ht="15" customHeight="1" spans="1:46">
      <c r="A142" s="60">
        <v>117</v>
      </c>
      <c r="B142" s="61" t="s">
        <v>331</v>
      </c>
      <c r="C142" s="61" t="s">
        <v>332</v>
      </c>
      <c r="D142" s="61" t="s">
        <v>67</v>
      </c>
      <c r="E142" s="62">
        <v>32280</v>
      </c>
      <c r="F142" s="61">
        <v>11237</v>
      </c>
      <c r="G142" s="61" t="s">
        <v>53</v>
      </c>
      <c r="H142" s="63" t="s">
        <v>54</v>
      </c>
      <c r="I142" s="64" t="s">
        <v>53</v>
      </c>
      <c r="J142" s="63" t="s">
        <v>56</v>
      </c>
      <c r="K142" s="65" t="s">
        <v>82</v>
      </c>
      <c r="L142" s="66">
        <v>781.79</v>
      </c>
      <c r="M142" s="67" t="s">
        <v>53</v>
      </c>
      <c r="N142" s="67" t="s">
        <v>59</v>
      </c>
      <c r="O142" s="67">
        <v>42.39</v>
      </c>
      <c r="P142" s="68" t="s">
        <v>53</v>
      </c>
      <c r="Q142" s="67" t="s">
        <v>60</v>
      </c>
      <c r="R142" s="67">
        <v>8.22</v>
      </c>
      <c r="S142" s="69" t="s">
        <v>61</v>
      </c>
      <c r="T142" s="69">
        <v>181000</v>
      </c>
      <c r="U142" s="69"/>
      <c r="V142" s="69" t="s">
        <v>62</v>
      </c>
      <c r="W142" s="69">
        <v>5005.81</v>
      </c>
      <c r="X142" s="69"/>
      <c r="Y142" s="69" t="s">
        <v>63</v>
      </c>
      <c r="Z142" s="69">
        <v>1040</v>
      </c>
      <c r="AA142" s="69"/>
      <c r="AB142" s="70"/>
      <c r="AC142" s="69" t="s">
        <v>144</v>
      </c>
      <c r="AD142" s="69"/>
      <c r="AE142" s="71">
        <v>93254</v>
      </c>
      <c r="AF142" s="69"/>
      <c r="AG142" s="3" t="str">
        <f t="shared" si="4"/>
        <v>WesamEl Shaarawi</v>
      </c>
      <c r="AH142" s="3" t="str">
        <f>VLOOKUP($AG142,[1]Sheet8!$B:$G,1,0)</f>
        <v>WESAMEL SHAARAWI</v>
      </c>
      <c r="AI142" s="3" t="str">
        <f>VLOOKUP($AG142,[1]Sheet8!$B:$G,4,0)</f>
        <v>EE</v>
      </c>
      <c r="AJ142" s="3" t="str">
        <f>VLOOKUP($AG142,[1]Sheet8!$B:$G,5,0)</f>
        <v>L093530003</v>
      </c>
      <c r="AK142" s="3">
        <f>VLOOKUP($AG142,[1]Sheet8!$B:$G,6,0)</f>
        <v>8.22</v>
      </c>
      <c r="AL142" s="3" t="s">
        <v>53</v>
      </c>
      <c r="AM142" s="3" t="s">
        <v>82</v>
      </c>
      <c r="AN142" s="3">
        <v>781.79</v>
      </c>
      <c r="AO142" s="3" t="s">
        <v>53</v>
      </c>
      <c r="AP142" s="3" t="s">
        <v>59</v>
      </c>
      <c r="AQ142" s="3">
        <v>42.39</v>
      </c>
      <c r="AR142" s="3" t="s">
        <v>53</v>
      </c>
      <c r="AS142" s="3" t="s">
        <v>60</v>
      </c>
      <c r="AT142" s="3">
        <v>8.22</v>
      </c>
    </row>
    <row r="143" s="3" customFormat="1" ht="15" customHeight="1" spans="1:46">
      <c r="A143" s="60">
        <v>118</v>
      </c>
      <c r="B143" s="61" t="s">
        <v>333</v>
      </c>
      <c r="C143" s="61" t="s">
        <v>334</v>
      </c>
      <c r="D143" s="61" t="s">
        <v>67</v>
      </c>
      <c r="E143" s="62">
        <v>28234</v>
      </c>
      <c r="F143" s="61">
        <v>97214</v>
      </c>
      <c r="G143" s="61" t="s">
        <v>53</v>
      </c>
      <c r="H143" s="63" t="s">
        <v>54</v>
      </c>
      <c r="I143" s="64" t="s">
        <v>53</v>
      </c>
      <c r="J143" s="63" t="s">
        <v>56</v>
      </c>
      <c r="K143" s="65" t="s">
        <v>57</v>
      </c>
      <c r="L143" s="66">
        <v>1235.83</v>
      </c>
      <c r="M143" s="67" t="s">
        <v>53</v>
      </c>
      <c r="N143" s="67" t="s">
        <v>59</v>
      </c>
      <c r="O143" s="67">
        <v>42.39</v>
      </c>
      <c r="P143" s="68" t="s">
        <v>53</v>
      </c>
      <c r="Q143" s="67" t="s">
        <v>60</v>
      </c>
      <c r="R143" s="67">
        <v>8.22</v>
      </c>
      <c r="S143" s="69" t="s">
        <v>61</v>
      </c>
      <c r="T143" s="69">
        <v>189000</v>
      </c>
      <c r="U143" s="69"/>
      <c r="V143" s="69" t="s">
        <v>62</v>
      </c>
      <c r="W143" s="69">
        <v>5247.21</v>
      </c>
      <c r="X143" s="69"/>
      <c r="Y143" s="69" t="s">
        <v>63</v>
      </c>
      <c r="Z143" s="69">
        <v>1090</v>
      </c>
      <c r="AA143" s="69"/>
      <c r="AB143" s="70"/>
      <c r="AC143" s="69" t="s">
        <v>335</v>
      </c>
      <c r="AD143" s="69"/>
      <c r="AE143" s="71">
        <v>97278</v>
      </c>
      <c r="AF143" s="69"/>
      <c r="AG143" s="3" t="str">
        <f t="shared" si="4"/>
        <v>GeoffreyElzner</v>
      </c>
      <c r="AH143" s="3" t="str">
        <f>VLOOKUP($AG143,[1]Sheet8!$B:$G,1,0)</f>
        <v>GEOFFREYELZNER</v>
      </c>
      <c r="AI143" s="3" t="str">
        <f>VLOOKUP($AG143,[1]Sheet8!$B:$G,4,0)</f>
        <v>EE</v>
      </c>
      <c r="AJ143" s="3" t="str">
        <f>VLOOKUP($AG143,[1]Sheet8!$B:$G,5,0)</f>
        <v>L093530003</v>
      </c>
      <c r="AK143" s="3">
        <f>VLOOKUP($AG143,[1]Sheet8!$B:$G,6,0)</f>
        <v>8.22</v>
      </c>
      <c r="AL143" s="3" t="s">
        <v>53</v>
      </c>
      <c r="AM143" s="3" t="s">
        <v>57</v>
      </c>
      <c r="AN143" s="3">
        <v>1235.83</v>
      </c>
      <c r="AO143" s="3" t="s">
        <v>53</v>
      </c>
      <c r="AP143" s="3" t="s">
        <v>59</v>
      </c>
      <c r="AQ143" s="3">
        <v>42.39</v>
      </c>
      <c r="AR143" s="3" t="s">
        <v>53</v>
      </c>
      <c r="AS143" s="3" t="s">
        <v>60</v>
      </c>
      <c r="AT143" s="3">
        <v>8.22</v>
      </c>
    </row>
    <row r="144" s="3" customFormat="1" ht="15" customHeight="1" spans="1:46">
      <c r="A144" s="60">
        <v>119</v>
      </c>
      <c r="B144" s="61" t="s">
        <v>336</v>
      </c>
      <c r="C144" s="61" t="s">
        <v>337</v>
      </c>
      <c r="D144" s="61" t="s">
        <v>52</v>
      </c>
      <c r="E144" s="62">
        <v>32613</v>
      </c>
      <c r="F144" s="61">
        <v>80305</v>
      </c>
      <c r="G144" s="61" t="s">
        <v>53</v>
      </c>
      <c r="H144" s="63" t="s">
        <v>54</v>
      </c>
      <c r="I144" s="64" t="s">
        <v>53</v>
      </c>
      <c r="J144" s="63" t="s">
        <v>56</v>
      </c>
      <c r="K144" s="65" t="s">
        <v>57</v>
      </c>
      <c r="L144" s="66">
        <v>1235.83</v>
      </c>
      <c r="M144" s="67" t="s">
        <v>53</v>
      </c>
      <c r="N144" s="67" t="s">
        <v>59</v>
      </c>
      <c r="O144" s="67">
        <v>42.39</v>
      </c>
      <c r="P144" s="68" t="s">
        <v>53</v>
      </c>
      <c r="Q144" s="67" t="s">
        <v>60</v>
      </c>
      <c r="R144" s="67">
        <v>8.22</v>
      </c>
      <c r="S144" s="69" t="s">
        <v>61</v>
      </c>
      <c r="T144" s="69">
        <v>250000</v>
      </c>
      <c r="U144" s="69"/>
      <c r="V144" s="69" t="s">
        <v>62</v>
      </c>
      <c r="W144" s="69">
        <v>6974.46</v>
      </c>
      <c r="X144" s="69"/>
      <c r="Y144" s="69" t="s">
        <v>63</v>
      </c>
      <c r="Z144" s="69">
        <v>1448</v>
      </c>
      <c r="AA144" s="69"/>
      <c r="AB144" s="70"/>
      <c r="AC144" s="69" t="s">
        <v>95</v>
      </c>
      <c r="AD144" s="69"/>
      <c r="AE144" s="71">
        <v>138388.3</v>
      </c>
      <c r="AF144" s="69"/>
      <c r="AG144" s="3" t="str">
        <f t="shared" si="4"/>
        <v>AlexisEssa</v>
      </c>
      <c r="AH144" s="3" t="str">
        <f>VLOOKUP($AG144,[1]Sheet8!$B:$G,1,0)</f>
        <v>ALEXISESSA</v>
      </c>
      <c r="AI144" s="3" t="str">
        <f>VLOOKUP($AG144,[1]Sheet8!$B:$G,4,0)</f>
        <v>EE</v>
      </c>
      <c r="AJ144" s="3" t="str">
        <f>VLOOKUP($AG144,[1]Sheet8!$B:$G,5,0)</f>
        <v>L093530003</v>
      </c>
      <c r="AK144" s="3">
        <f>VLOOKUP($AG144,[1]Sheet8!$B:$G,6,0)</f>
        <v>8.22</v>
      </c>
      <c r="AL144" s="3" t="s">
        <v>53</v>
      </c>
      <c r="AM144" s="3" t="s">
        <v>57</v>
      </c>
      <c r="AN144" s="3">
        <v>1235.83</v>
      </c>
      <c r="AO144" s="3" t="s">
        <v>53</v>
      </c>
      <c r="AP144" s="3" t="s">
        <v>59</v>
      </c>
      <c r="AQ144" s="3">
        <v>42.39</v>
      </c>
      <c r="AR144" s="3" t="s">
        <v>53</v>
      </c>
      <c r="AS144" s="3" t="s">
        <v>60</v>
      </c>
      <c r="AT144" s="3">
        <v>8.22</v>
      </c>
    </row>
    <row r="145" s="3" customFormat="1" ht="15" customHeight="1" spans="1:46">
      <c r="A145" s="60">
        <v>120</v>
      </c>
      <c r="B145" s="61" t="s">
        <v>338</v>
      </c>
      <c r="C145" s="61" t="s">
        <v>339</v>
      </c>
      <c r="D145" s="61" t="s">
        <v>52</v>
      </c>
      <c r="E145" s="62">
        <v>36368</v>
      </c>
      <c r="F145" s="61">
        <v>11418</v>
      </c>
      <c r="G145" s="61" t="s">
        <v>53</v>
      </c>
      <c r="H145" s="63" t="s">
        <v>54</v>
      </c>
      <c r="I145" s="64" t="s">
        <v>53</v>
      </c>
      <c r="J145" s="63" t="s">
        <v>56</v>
      </c>
      <c r="K145" s="65" t="s">
        <v>57</v>
      </c>
      <c r="L145" s="66">
        <v>1235.83</v>
      </c>
      <c r="M145" s="67" t="s">
        <v>53</v>
      </c>
      <c r="N145" s="67" t="s">
        <v>59</v>
      </c>
      <c r="O145" s="67">
        <v>42.39</v>
      </c>
      <c r="P145" s="68" t="s">
        <v>53</v>
      </c>
      <c r="Q145" s="67" t="s">
        <v>60</v>
      </c>
      <c r="R145" s="67">
        <v>8.22</v>
      </c>
      <c r="S145" s="69" t="s">
        <v>61</v>
      </c>
      <c r="T145" s="69">
        <v>164000</v>
      </c>
      <c r="U145" s="69"/>
      <c r="V145" s="69" t="s">
        <v>62</v>
      </c>
      <c r="W145" s="69">
        <v>4550.23</v>
      </c>
      <c r="X145" s="69"/>
      <c r="Y145" s="69" t="s">
        <v>63</v>
      </c>
      <c r="Z145" s="69">
        <v>945</v>
      </c>
      <c r="AA145" s="69"/>
      <c r="AB145" s="70"/>
      <c r="AC145" s="69" t="s">
        <v>340</v>
      </c>
      <c r="AD145" s="69"/>
      <c r="AE145" s="71">
        <v>84767</v>
      </c>
      <c r="AF145" s="69"/>
      <c r="AG145" s="3" t="str">
        <f t="shared" si="4"/>
        <v>NikkiEvans</v>
      </c>
      <c r="AH145" s="3" t="str">
        <f>VLOOKUP($AG145,[1]Sheet8!$B:$G,1,0)</f>
        <v>NIKKIEVANS</v>
      </c>
      <c r="AI145" s="3" t="str">
        <f>VLOOKUP($AG145,[1]Sheet8!$B:$G,4,0)</f>
        <v>EE</v>
      </c>
      <c r="AJ145" s="3" t="str">
        <f>VLOOKUP($AG145,[1]Sheet8!$B:$G,5,0)</f>
        <v>L093530003</v>
      </c>
      <c r="AK145" s="3">
        <f>VLOOKUP($AG145,[1]Sheet8!$B:$G,6,0)</f>
        <v>8.22</v>
      </c>
      <c r="AL145" s="3" t="s">
        <v>53</v>
      </c>
      <c r="AM145" s="3" t="s">
        <v>57</v>
      </c>
      <c r="AN145" s="3">
        <v>1235.83</v>
      </c>
      <c r="AO145" s="3" t="s">
        <v>53</v>
      </c>
      <c r="AP145" s="3" t="s">
        <v>59</v>
      </c>
      <c r="AQ145" s="3">
        <v>42.39</v>
      </c>
      <c r="AR145" s="3" t="s">
        <v>53</v>
      </c>
      <c r="AS145" s="3" t="s">
        <v>60</v>
      </c>
      <c r="AT145" s="3">
        <v>8.22</v>
      </c>
    </row>
    <row r="146" s="3" customFormat="1" ht="15" customHeight="1" spans="1:46">
      <c r="A146" s="60">
        <v>121</v>
      </c>
      <c r="B146" s="61" t="s">
        <v>341</v>
      </c>
      <c r="C146" s="61" t="s">
        <v>342</v>
      </c>
      <c r="D146" s="61" t="s">
        <v>52</v>
      </c>
      <c r="E146" s="62">
        <v>28118</v>
      </c>
      <c r="F146" s="61">
        <v>94602</v>
      </c>
      <c r="G146" s="61" t="s">
        <v>53</v>
      </c>
      <c r="H146" s="63" t="s">
        <v>54</v>
      </c>
      <c r="I146" s="64" t="s">
        <v>53</v>
      </c>
      <c r="J146" s="63" t="s">
        <v>56</v>
      </c>
      <c r="K146" s="65" t="s">
        <v>57</v>
      </c>
      <c r="L146" s="66">
        <v>1235.83</v>
      </c>
      <c r="M146" s="67" t="s">
        <v>53</v>
      </c>
      <c r="N146" s="67" t="s">
        <v>59</v>
      </c>
      <c r="O146" s="67">
        <v>42.39</v>
      </c>
      <c r="P146" s="68" t="s">
        <v>53</v>
      </c>
      <c r="Q146" s="67" t="s">
        <v>60</v>
      </c>
      <c r="R146" s="67">
        <v>8.22</v>
      </c>
      <c r="S146" s="69" t="s">
        <v>61</v>
      </c>
      <c r="T146" s="69">
        <v>236000</v>
      </c>
      <c r="U146" s="69"/>
      <c r="V146" s="69" t="s">
        <v>62</v>
      </c>
      <c r="W146" s="69">
        <v>6532.6</v>
      </c>
      <c r="X146" s="69"/>
      <c r="Y146" s="69" t="s">
        <v>63</v>
      </c>
      <c r="Z146" s="69">
        <v>1357</v>
      </c>
      <c r="AA146" s="69"/>
      <c r="AB146" s="70"/>
      <c r="AC146" s="69" t="s">
        <v>343</v>
      </c>
      <c r="AD146" s="69"/>
      <c r="AE146" s="71">
        <v>117580.73</v>
      </c>
      <c r="AF146" s="69"/>
      <c r="AG146" s="3" t="str">
        <f t="shared" si="4"/>
        <v>Ruohnan HuEvenhouse</v>
      </c>
      <c r="AH146" s="3" t="str">
        <f>VLOOKUP($AG146,[1]Sheet8!$B:$G,1,0)</f>
        <v>RUOHNAN HUEVENHOUSE</v>
      </c>
      <c r="AI146" s="3" t="str">
        <f>VLOOKUP($AG146,[1]Sheet8!$B:$G,4,0)</f>
        <v>EE</v>
      </c>
      <c r="AJ146" s="3" t="str">
        <f>VLOOKUP($AG146,[1]Sheet8!$B:$G,5,0)</f>
        <v>L093530003</v>
      </c>
      <c r="AK146" s="3">
        <f>VLOOKUP($AG146,[1]Sheet8!$B:$G,6,0)</f>
        <v>8.22</v>
      </c>
      <c r="AL146" s="3" t="s">
        <v>53</v>
      </c>
      <c r="AM146" s="3" t="s">
        <v>57</v>
      </c>
      <c r="AN146" s="3">
        <v>1235.83</v>
      </c>
      <c r="AO146" s="3" t="s">
        <v>53</v>
      </c>
      <c r="AP146" s="3" t="s">
        <v>59</v>
      </c>
      <c r="AQ146" s="3">
        <v>42.39</v>
      </c>
      <c r="AR146" s="3" t="s">
        <v>53</v>
      </c>
      <c r="AS146" s="3" t="s">
        <v>60</v>
      </c>
      <c r="AT146" s="3">
        <v>8.22</v>
      </c>
    </row>
    <row r="147" s="3" customFormat="1" ht="15" customHeight="1" spans="1:46">
      <c r="A147" s="60">
        <v>122</v>
      </c>
      <c r="B147" s="61" t="s">
        <v>107</v>
      </c>
      <c r="C147" s="61" t="s">
        <v>344</v>
      </c>
      <c r="D147" s="61" t="s">
        <v>67</v>
      </c>
      <c r="E147" s="62">
        <v>32275</v>
      </c>
      <c r="F147" s="61">
        <v>98102</v>
      </c>
      <c r="G147" s="61" t="s">
        <v>53</v>
      </c>
      <c r="H147" s="63" t="s">
        <v>54</v>
      </c>
      <c r="I147" s="64" t="s">
        <v>53</v>
      </c>
      <c r="J147" s="63" t="s">
        <v>56</v>
      </c>
      <c r="K147" s="65" t="s">
        <v>57</v>
      </c>
      <c r="L147" s="66">
        <v>1235.83</v>
      </c>
      <c r="M147" s="67" t="s">
        <v>53</v>
      </c>
      <c r="N147" s="67" t="s">
        <v>59</v>
      </c>
      <c r="O147" s="67">
        <v>42.39</v>
      </c>
      <c r="P147" s="68" t="s">
        <v>53</v>
      </c>
      <c r="Q147" s="67" t="s">
        <v>60</v>
      </c>
      <c r="R147" s="67">
        <v>8.22</v>
      </c>
      <c r="S147" s="69" t="s">
        <v>61</v>
      </c>
      <c r="T147" s="69">
        <v>150000</v>
      </c>
      <c r="U147" s="69"/>
      <c r="V147" s="69" t="s">
        <v>62</v>
      </c>
      <c r="W147" s="69">
        <v>4166.88</v>
      </c>
      <c r="X147" s="69"/>
      <c r="Y147" s="69" t="s">
        <v>63</v>
      </c>
      <c r="Z147" s="69">
        <v>865</v>
      </c>
      <c r="AA147" s="69"/>
      <c r="AB147" s="70"/>
      <c r="AC147" s="69" t="s">
        <v>201</v>
      </c>
      <c r="AD147" s="69"/>
      <c r="AE147" s="71">
        <v>75000</v>
      </c>
      <c r="AF147" s="69"/>
      <c r="AG147" s="3" t="str">
        <f t="shared" si="4"/>
        <v>AlanEveritt</v>
      </c>
      <c r="AH147" s="3" t="str">
        <f>VLOOKUP($AG147,[1]Sheet8!$B:$G,1,0)</f>
        <v>ALANEVERITT</v>
      </c>
      <c r="AI147" s="3" t="str">
        <f>VLOOKUP($AG147,[1]Sheet8!$B:$G,4,0)</f>
        <v>EE</v>
      </c>
      <c r="AJ147" s="3" t="str">
        <f>VLOOKUP($AG147,[1]Sheet8!$B:$G,5,0)</f>
        <v>L093530003</v>
      </c>
      <c r="AK147" s="3">
        <f>VLOOKUP($AG147,[1]Sheet8!$B:$G,6,0)</f>
        <v>8.22</v>
      </c>
      <c r="AL147" s="3" t="s">
        <v>53</v>
      </c>
      <c r="AM147" s="3" t="s">
        <v>57</v>
      </c>
      <c r="AN147" s="3">
        <v>1235.83</v>
      </c>
      <c r="AO147" s="3" t="s">
        <v>53</v>
      </c>
      <c r="AP147" s="3" t="s">
        <v>59</v>
      </c>
      <c r="AQ147" s="3">
        <v>42.39</v>
      </c>
      <c r="AR147" s="3" t="s">
        <v>53</v>
      </c>
      <c r="AS147" s="3" t="s">
        <v>60</v>
      </c>
      <c r="AT147" s="3">
        <v>8.22</v>
      </c>
    </row>
    <row r="148" s="3" customFormat="1" ht="15" customHeight="1" spans="1:46">
      <c r="A148" s="60">
        <v>123</v>
      </c>
      <c r="B148" s="61" t="s">
        <v>345</v>
      </c>
      <c r="C148" s="61" t="s">
        <v>346</v>
      </c>
      <c r="D148" s="61" t="s">
        <v>67</v>
      </c>
      <c r="E148" s="62">
        <v>34979</v>
      </c>
      <c r="F148" s="61">
        <v>76108</v>
      </c>
      <c r="G148" s="61" t="s">
        <v>53</v>
      </c>
      <c r="H148" s="63" t="s">
        <v>54</v>
      </c>
      <c r="I148" s="64" t="s">
        <v>81</v>
      </c>
      <c r="J148" s="63" t="s">
        <v>56</v>
      </c>
      <c r="K148" s="65" t="s">
        <v>57</v>
      </c>
      <c r="L148" s="66">
        <v>2718.81</v>
      </c>
      <c r="M148" s="67" t="s">
        <v>81</v>
      </c>
      <c r="N148" s="67" t="s">
        <v>59</v>
      </c>
      <c r="O148" s="67">
        <v>84.72</v>
      </c>
      <c r="P148" s="68" t="s">
        <v>81</v>
      </c>
      <c r="Q148" s="67" t="s">
        <v>60</v>
      </c>
      <c r="R148" s="67">
        <v>16.48</v>
      </c>
      <c r="S148" s="69" t="s">
        <v>61</v>
      </c>
      <c r="T148" s="69">
        <v>210000</v>
      </c>
      <c r="U148" s="69"/>
      <c r="V148" s="69" t="s">
        <v>62</v>
      </c>
      <c r="W148" s="69">
        <v>5815.68</v>
      </c>
      <c r="X148" s="69"/>
      <c r="Y148" s="69" t="s">
        <v>63</v>
      </c>
      <c r="Z148" s="69">
        <v>1208</v>
      </c>
      <c r="AA148" s="69"/>
      <c r="AB148" s="70"/>
      <c r="AC148" s="69" t="s">
        <v>98</v>
      </c>
      <c r="AD148" s="69"/>
      <c r="AE148" s="71">
        <v>117238.3</v>
      </c>
      <c r="AF148" s="69"/>
      <c r="AG148" s="3" t="str">
        <f t="shared" si="4"/>
        <v>RossEwert</v>
      </c>
      <c r="AH148" s="3" t="str">
        <f>VLOOKUP($AG148,[1]Sheet8!$B:$G,1,0)</f>
        <v>ROSSEWERT</v>
      </c>
      <c r="AI148" s="3" t="str">
        <f>VLOOKUP($AG148,[1]Sheet8!$B:$G,4,0)</f>
        <v>ES</v>
      </c>
      <c r="AJ148" s="3" t="str">
        <f>VLOOKUP($AG148,[1]Sheet8!$B:$G,5,0)</f>
        <v>L093530003</v>
      </c>
      <c r="AK148" s="3">
        <f>VLOOKUP($AG148,[1]Sheet8!$B:$G,6,0)</f>
        <v>16.48</v>
      </c>
      <c r="AL148" s="3" t="s">
        <v>81</v>
      </c>
      <c r="AM148" s="3" t="s">
        <v>57</v>
      </c>
      <c r="AN148" s="3">
        <v>2718.81</v>
      </c>
      <c r="AO148" s="3" t="s">
        <v>81</v>
      </c>
      <c r="AP148" s="3" t="s">
        <v>59</v>
      </c>
      <c r="AQ148" s="3">
        <v>84.72</v>
      </c>
      <c r="AR148" s="3" t="s">
        <v>81</v>
      </c>
      <c r="AS148" s="3" t="s">
        <v>60</v>
      </c>
      <c r="AT148" s="3">
        <v>16.48</v>
      </c>
    </row>
    <row r="149" s="3" customFormat="1" ht="15" customHeight="1" spans="1:46">
      <c r="A149" s="60">
        <v>124</v>
      </c>
      <c r="B149" s="61" t="s">
        <v>182</v>
      </c>
      <c r="C149" s="61" t="s">
        <v>347</v>
      </c>
      <c r="D149" s="61" t="s">
        <v>52</v>
      </c>
      <c r="E149" s="62">
        <v>35326</v>
      </c>
      <c r="F149" s="61">
        <v>76108</v>
      </c>
      <c r="G149" s="61" t="s">
        <v>85</v>
      </c>
      <c r="H149" s="63">
        <v>123</v>
      </c>
      <c r="I149" s="64" t="s">
        <v>81</v>
      </c>
      <c r="J149" s="63" t="s">
        <v>56</v>
      </c>
      <c r="K149" s="65"/>
      <c r="L149" s="66"/>
      <c r="M149" s="67"/>
      <c r="N149" s="67"/>
      <c r="O149" s="67"/>
      <c r="P149" s="68"/>
      <c r="Q149" s="67"/>
      <c r="R149" s="67"/>
      <c r="S149" s="69"/>
      <c r="T149" s="69"/>
      <c r="U149" s="69"/>
      <c r="V149" s="69"/>
      <c r="W149" s="69"/>
      <c r="X149" s="69"/>
      <c r="Y149" s="69"/>
      <c r="Z149" s="69"/>
      <c r="AA149" s="69"/>
      <c r="AB149" s="70"/>
      <c r="AC149" s="69"/>
      <c r="AD149" s="69"/>
      <c r="AE149" s="71"/>
      <c r="AF149" s="69"/>
    </row>
    <row r="150" s="3" customFormat="1" ht="15" customHeight="1" spans="1:46">
      <c r="A150" s="60">
        <v>125</v>
      </c>
      <c r="B150" s="61" t="s">
        <v>348</v>
      </c>
      <c r="C150" s="61" t="s">
        <v>349</v>
      </c>
      <c r="D150" s="61" t="s">
        <v>52</v>
      </c>
      <c r="E150" s="62">
        <v>33572</v>
      </c>
      <c r="F150" s="61">
        <v>93004</v>
      </c>
      <c r="G150" s="61" t="s">
        <v>53</v>
      </c>
      <c r="H150" s="63" t="s">
        <v>54</v>
      </c>
      <c r="I150" s="64" t="s">
        <v>55</v>
      </c>
      <c r="J150" s="63" t="s">
        <v>56</v>
      </c>
      <c r="K150" s="65" t="s">
        <v>82</v>
      </c>
      <c r="L150" s="66">
        <v>1407.23</v>
      </c>
      <c r="M150" s="67"/>
      <c r="N150" s="67"/>
      <c r="O150" s="67"/>
      <c r="P150" s="68"/>
      <c r="Q150" s="67"/>
      <c r="R150" s="67"/>
      <c r="S150" s="69" t="s">
        <v>61</v>
      </c>
      <c r="T150" s="69">
        <v>170000</v>
      </c>
      <c r="U150" s="69"/>
      <c r="V150" s="69" t="s">
        <v>62</v>
      </c>
      <c r="W150" s="69">
        <v>4722.46</v>
      </c>
      <c r="X150" s="69"/>
      <c r="Y150" s="69" t="s">
        <v>63</v>
      </c>
      <c r="Z150" s="69">
        <v>981</v>
      </c>
      <c r="AA150" s="69"/>
      <c r="AB150" s="70"/>
      <c r="AC150" s="69" t="s">
        <v>144</v>
      </c>
      <c r="AD150" s="69"/>
      <c r="AE150" s="71">
        <v>87550</v>
      </c>
      <c r="AF150" s="69"/>
      <c r="AG150" s="3" t="str">
        <f>B150&amp;C150</f>
        <v>KaraEytcheson</v>
      </c>
      <c r="AH150" s="3" t="e">
        <f>VLOOKUP($AG150,[1]Sheet8!$B:$G,1,0)</f>
        <v>#N/A</v>
      </c>
      <c r="AI150" s="3" t="e">
        <f>VLOOKUP($AG150,[1]Sheet8!$B:$G,4,0)</f>
        <v>#N/A</v>
      </c>
      <c r="AJ150" s="3" t="e">
        <f>VLOOKUP($AG150,[1]Sheet8!$B:$G,5,0)</f>
        <v>#N/A</v>
      </c>
      <c r="AK150" s="3" t="e">
        <f>VLOOKUP($AG150,[1]Sheet8!$B:$G,6,0)</f>
        <v>#N/A</v>
      </c>
      <c r="AL150" s="3" t="s">
        <v>55</v>
      </c>
      <c r="AM150" s="3" t="s">
        <v>82</v>
      </c>
      <c r="AN150" s="3">
        <v>1407.23</v>
      </c>
    </row>
    <row r="151" s="3" customFormat="1" ht="15" customHeight="1" spans="1:46">
      <c r="A151" s="60">
        <v>126</v>
      </c>
      <c r="B151" s="61" t="s">
        <v>350</v>
      </c>
      <c r="C151" s="61" t="s">
        <v>349</v>
      </c>
      <c r="D151" s="61" t="s">
        <v>67</v>
      </c>
      <c r="E151" s="62">
        <v>41494</v>
      </c>
      <c r="F151" s="61">
        <v>93004</v>
      </c>
      <c r="G151" s="61" t="s">
        <v>68</v>
      </c>
      <c r="H151" s="63">
        <v>125</v>
      </c>
      <c r="I151" s="64" t="s">
        <v>55</v>
      </c>
      <c r="J151" s="63" t="s">
        <v>56</v>
      </c>
      <c r="K151" s="65"/>
      <c r="L151" s="66"/>
      <c r="M151" s="67"/>
      <c r="N151" s="67"/>
      <c r="O151" s="67"/>
      <c r="P151" s="68"/>
      <c r="Q151" s="67"/>
      <c r="R151" s="67"/>
      <c r="S151" s="69"/>
      <c r="T151" s="69"/>
      <c r="U151" s="69"/>
      <c r="V151" s="69"/>
      <c r="W151" s="69"/>
      <c r="X151" s="69"/>
      <c r="Y151" s="69"/>
      <c r="Z151" s="69"/>
      <c r="AA151" s="69"/>
      <c r="AB151" s="70"/>
      <c r="AC151" s="69"/>
      <c r="AD151" s="69"/>
      <c r="AE151" s="71"/>
      <c r="AF151" s="69"/>
    </row>
    <row r="152" s="3" customFormat="1" ht="15" customHeight="1" spans="1:46">
      <c r="A152" s="60">
        <v>127</v>
      </c>
      <c r="B152" s="61" t="s">
        <v>351</v>
      </c>
      <c r="C152" s="61" t="s">
        <v>352</v>
      </c>
      <c r="D152" s="61" t="s">
        <v>67</v>
      </c>
      <c r="E152" s="62">
        <v>40263</v>
      </c>
      <c r="F152" s="61">
        <v>93004</v>
      </c>
      <c r="G152" s="61" t="s">
        <v>68</v>
      </c>
      <c r="H152" s="63">
        <v>125</v>
      </c>
      <c r="I152" s="64" t="s">
        <v>55</v>
      </c>
      <c r="J152" s="63" t="s">
        <v>56</v>
      </c>
      <c r="K152" s="65"/>
      <c r="L152" s="66"/>
      <c r="M152" s="67"/>
      <c r="N152" s="67"/>
      <c r="O152" s="67"/>
      <c r="P152" s="68"/>
      <c r="Q152" s="67"/>
      <c r="R152" s="67"/>
      <c r="S152" s="69"/>
      <c r="T152" s="69"/>
      <c r="U152" s="69"/>
      <c r="V152" s="69"/>
      <c r="W152" s="69"/>
      <c r="X152" s="69"/>
      <c r="Y152" s="69"/>
      <c r="Z152" s="69"/>
      <c r="AA152" s="69"/>
      <c r="AB152" s="70"/>
      <c r="AC152" s="69"/>
      <c r="AD152" s="69"/>
      <c r="AE152" s="71"/>
      <c r="AF152" s="69"/>
    </row>
    <row r="153" s="3" customFormat="1" ht="15" customHeight="1" spans="1:46">
      <c r="A153" s="60">
        <v>128</v>
      </c>
      <c r="B153" s="61" t="s">
        <v>353</v>
      </c>
      <c r="C153" s="61" t="s">
        <v>354</v>
      </c>
      <c r="D153" s="61" t="s">
        <v>67</v>
      </c>
      <c r="E153" s="62">
        <v>27765</v>
      </c>
      <c r="F153" s="61">
        <v>33139</v>
      </c>
      <c r="G153" s="61" t="s">
        <v>53</v>
      </c>
      <c r="H153" s="63" t="s">
        <v>54</v>
      </c>
      <c r="I153" s="64" t="s">
        <v>53</v>
      </c>
      <c r="J153" s="63" t="s">
        <v>56</v>
      </c>
      <c r="K153" s="65" t="s">
        <v>57</v>
      </c>
      <c r="L153" s="66">
        <v>1235.83</v>
      </c>
      <c r="M153" s="67" t="s">
        <v>53</v>
      </c>
      <c r="N153" s="67" t="s">
        <v>59</v>
      </c>
      <c r="O153" s="67">
        <v>42.39</v>
      </c>
      <c r="P153" s="68" t="s">
        <v>53</v>
      </c>
      <c r="Q153" s="67" t="s">
        <v>60</v>
      </c>
      <c r="R153" s="67">
        <v>8.22</v>
      </c>
      <c r="S153" s="69" t="s">
        <v>61</v>
      </c>
      <c r="T153" s="69">
        <v>250000</v>
      </c>
      <c r="U153" s="69"/>
      <c r="V153" s="69" t="s">
        <v>62</v>
      </c>
      <c r="W153" s="69">
        <v>10000</v>
      </c>
      <c r="X153" s="69"/>
      <c r="Y153" s="69" t="s">
        <v>63</v>
      </c>
      <c r="Z153" s="69">
        <v>2000</v>
      </c>
      <c r="AA153" s="69"/>
      <c r="AB153" s="70"/>
      <c r="AC153" s="69" t="s">
        <v>355</v>
      </c>
      <c r="AD153" s="69"/>
      <c r="AE153" s="71">
        <v>244800</v>
      </c>
      <c r="AF153" s="69"/>
      <c r="AG153" s="3" t="str">
        <f t="shared" ref="AG153:AG158" si="5">B153&amp;C153</f>
        <v>MarkFantino</v>
      </c>
      <c r="AH153" s="3" t="str">
        <f>VLOOKUP($AG153,[1]Sheet8!$B:$G,1,0)</f>
        <v>MARKFANTINO</v>
      </c>
      <c r="AI153" s="3" t="str">
        <f>VLOOKUP($AG153,[1]Sheet8!$B:$G,4,0)</f>
        <v>EE</v>
      </c>
      <c r="AJ153" s="3" t="str">
        <f>VLOOKUP($AG153,[1]Sheet8!$B:$G,5,0)</f>
        <v>L093530003</v>
      </c>
      <c r="AK153" s="3">
        <f>VLOOKUP($AG153,[1]Sheet8!$B:$G,6,0)</f>
        <v>8.22</v>
      </c>
      <c r="AL153" s="3" t="s">
        <v>53</v>
      </c>
      <c r="AM153" s="3" t="s">
        <v>57</v>
      </c>
      <c r="AN153" s="3">
        <v>1235.83</v>
      </c>
      <c r="AO153" s="3" t="s">
        <v>53</v>
      </c>
      <c r="AP153" s="3" t="s">
        <v>59</v>
      </c>
      <c r="AQ153" s="3">
        <v>42.39</v>
      </c>
      <c r="AR153" s="3" t="s">
        <v>53</v>
      </c>
      <c r="AS153" s="3" t="s">
        <v>60</v>
      </c>
      <c r="AT153" s="3">
        <v>8.22</v>
      </c>
    </row>
    <row r="154" s="3" customFormat="1" ht="15" customHeight="1" spans="1:46">
      <c r="A154" s="60">
        <v>129</v>
      </c>
      <c r="B154" s="61" t="s">
        <v>195</v>
      </c>
      <c r="C154" s="61" t="s">
        <v>356</v>
      </c>
      <c r="D154" s="61" t="s">
        <v>52</v>
      </c>
      <c r="E154" s="62">
        <v>25002</v>
      </c>
      <c r="F154" s="61">
        <v>80503</v>
      </c>
      <c r="G154" s="61" t="s">
        <v>53</v>
      </c>
      <c r="H154" s="63" t="s">
        <v>54</v>
      </c>
      <c r="I154" s="64" t="s">
        <v>53</v>
      </c>
      <c r="J154" s="63" t="s">
        <v>56</v>
      </c>
      <c r="K154" s="65" t="s">
        <v>57</v>
      </c>
      <c r="L154" s="66">
        <v>1235.83</v>
      </c>
      <c r="M154" s="67" t="s">
        <v>53</v>
      </c>
      <c r="N154" s="67" t="s">
        <v>59</v>
      </c>
      <c r="O154" s="67">
        <v>42.39</v>
      </c>
      <c r="P154" s="68" t="s">
        <v>53</v>
      </c>
      <c r="Q154" s="67" t="s">
        <v>60</v>
      </c>
      <c r="R154" s="67">
        <v>8.22</v>
      </c>
      <c r="S154" s="69" t="s">
        <v>61</v>
      </c>
      <c r="T154" s="69">
        <v>250000</v>
      </c>
      <c r="U154" s="69"/>
      <c r="V154" s="69" t="s">
        <v>62</v>
      </c>
      <c r="W154" s="69">
        <v>10000</v>
      </c>
      <c r="X154" s="69"/>
      <c r="Y154" s="69" t="s">
        <v>63</v>
      </c>
      <c r="Z154" s="69">
        <v>2000</v>
      </c>
      <c r="AA154" s="69"/>
      <c r="AB154" s="70"/>
      <c r="AC154" s="69" t="s">
        <v>357</v>
      </c>
      <c r="AD154" s="69"/>
      <c r="AE154" s="71">
        <v>283401</v>
      </c>
      <c r="AF154" s="69"/>
      <c r="AG154" s="3" t="str">
        <f t="shared" si="5"/>
        <v>AshleyFaulkner</v>
      </c>
      <c r="AH154" s="3" t="str">
        <f>VLOOKUP($AG154,[1]Sheet8!$B:$G,1,0)</f>
        <v>ASHLEYFAULKNER</v>
      </c>
      <c r="AI154" s="3" t="str">
        <f>VLOOKUP($AG154,[1]Sheet8!$B:$G,4,0)</f>
        <v>EE</v>
      </c>
      <c r="AJ154" s="3" t="str">
        <f>VLOOKUP($AG154,[1]Sheet8!$B:$G,5,0)</f>
        <v>L093530003</v>
      </c>
      <c r="AK154" s="3">
        <f>VLOOKUP($AG154,[1]Sheet8!$B:$G,6,0)</f>
        <v>8.22</v>
      </c>
      <c r="AL154" s="3" t="s">
        <v>53</v>
      </c>
      <c r="AM154" s="3" t="s">
        <v>57</v>
      </c>
      <c r="AN154" s="3">
        <v>1235.83</v>
      </c>
      <c r="AO154" s="3" t="s">
        <v>53</v>
      </c>
      <c r="AP154" s="3" t="s">
        <v>59</v>
      </c>
      <c r="AQ154" s="3">
        <v>42.39</v>
      </c>
      <c r="AR154" s="3" t="s">
        <v>53</v>
      </c>
      <c r="AS154" s="3" t="s">
        <v>60</v>
      </c>
      <c r="AT154" s="3">
        <v>8.22</v>
      </c>
    </row>
    <row r="155" s="3" customFormat="1" ht="15" customHeight="1" spans="1:46">
      <c r="A155" s="60">
        <v>130</v>
      </c>
      <c r="B155" s="61" t="s">
        <v>358</v>
      </c>
      <c r="C155" s="61" t="s">
        <v>359</v>
      </c>
      <c r="D155" s="61" t="s">
        <v>52</v>
      </c>
      <c r="E155" s="62">
        <v>36280</v>
      </c>
      <c r="F155" s="61">
        <v>98144</v>
      </c>
      <c r="G155" s="61" t="s">
        <v>53</v>
      </c>
      <c r="H155" s="63" t="s">
        <v>54</v>
      </c>
      <c r="I155" s="64" t="s">
        <v>53</v>
      </c>
      <c r="J155" s="63" t="s">
        <v>56</v>
      </c>
      <c r="K155" s="65" t="s">
        <v>57</v>
      </c>
      <c r="L155" s="66">
        <v>1235.83</v>
      </c>
      <c r="M155" s="67"/>
      <c r="N155" s="67"/>
      <c r="O155" s="67"/>
      <c r="P155" s="68"/>
      <c r="Q155" s="67"/>
      <c r="R155" s="67"/>
      <c r="S155" s="69" t="s">
        <v>61</v>
      </c>
      <c r="T155" s="69">
        <v>150000</v>
      </c>
      <c r="U155" s="69"/>
      <c r="V155" s="69" t="s">
        <v>62</v>
      </c>
      <c r="W155" s="69">
        <v>4166.88</v>
      </c>
      <c r="X155" s="69"/>
      <c r="Y155" s="69" t="s">
        <v>63</v>
      </c>
      <c r="Z155" s="69">
        <v>865</v>
      </c>
      <c r="AA155" s="69"/>
      <c r="AB155" s="70"/>
      <c r="AC155" s="69" t="s">
        <v>201</v>
      </c>
      <c r="AD155" s="69"/>
      <c r="AE155" s="71">
        <v>77250</v>
      </c>
      <c r="AF155" s="69"/>
      <c r="AG155" s="3" t="str">
        <f t="shared" si="5"/>
        <v>AmyFerguson</v>
      </c>
      <c r="AH155" s="3" t="e">
        <f>VLOOKUP($AG155,[1]Sheet8!$B:$G,1,0)</f>
        <v>#N/A</v>
      </c>
      <c r="AI155" s="3" t="e">
        <f>VLOOKUP($AG155,[1]Sheet8!$B:$G,4,0)</f>
        <v>#N/A</v>
      </c>
      <c r="AJ155" s="3" t="e">
        <f>VLOOKUP($AG155,[1]Sheet8!$B:$G,5,0)</f>
        <v>#N/A</v>
      </c>
      <c r="AK155" s="3" t="e">
        <f>VLOOKUP($AG155,[1]Sheet8!$B:$G,6,0)</f>
        <v>#N/A</v>
      </c>
      <c r="AL155" s="3" t="s">
        <v>53</v>
      </c>
      <c r="AM155" s="3" t="s">
        <v>57</v>
      </c>
      <c r="AN155" s="3">
        <v>1235.83</v>
      </c>
    </row>
    <row r="156" s="3" customFormat="1" ht="15" customHeight="1" spans="1:46">
      <c r="A156" s="60">
        <v>131</v>
      </c>
      <c r="B156" s="61" t="s">
        <v>360</v>
      </c>
      <c r="C156" s="61" t="s">
        <v>361</v>
      </c>
      <c r="D156" s="61" t="s">
        <v>52</v>
      </c>
      <c r="E156" s="62">
        <v>36378</v>
      </c>
      <c r="F156" s="61">
        <v>23219</v>
      </c>
      <c r="G156" s="61" t="s">
        <v>53</v>
      </c>
      <c r="H156" s="63" t="s">
        <v>54</v>
      </c>
      <c r="I156" s="64" t="s">
        <v>53</v>
      </c>
      <c r="J156" s="63" t="s">
        <v>56</v>
      </c>
      <c r="K156" s="65" t="s">
        <v>57</v>
      </c>
      <c r="L156" s="66">
        <v>1235.83</v>
      </c>
      <c r="M156" s="67" t="s">
        <v>53</v>
      </c>
      <c r="N156" s="67" t="s">
        <v>59</v>
      </c>
      <c r="O156" s="67">
        <v>42.39</v>
      </c>
      <c r="P156" s="68" t="s">
        <v>53</v>
      </c>
      <c r="Q156" s="67" t="s">
        <v>60</v>
      </c>
      <c r="R156" s="67">
        <v>8.22</v>
      </c>
      <c r="S156" s="69" t="s">
        <v>61</v>
      </c>
      <c r="T156" s="69">
        <v>137000</v>
      </c>
      <c r="U156" s="69"/>
      <c r="V156" s="69" t="s">
        <v>62</v>
      </c>
      <c r="W156" s="69">
        <v>3805.75</v>
      </c>
      <c r="X156" s="69"/>
      <c r="Y156" s="69" t="s">
        <v>63</v>
      </c>
      <c r="Z156" s="69">
        <v>790</v>
      </c>
      <c r="AA156" s="69"/>
      <c r="AB156" s="70"/>
      <c r="AC156" s="69" t="s">
        <v>362</v>
      </c>
      <c r="AD156" s="69"/>
      <c r="AE156" s="71">
        <v>70898</v>
      </c>
      <c r="AF156" s="69"/>
      <c r="AG156" s="3" t="str">
        <f t="shared" si="5"/>
        <v>GabrielaFerreyra</v>
      </c>
      <c r="AH156" s="3" t="str">
        <f>VLOOKUP($AG156,[1]Sheet8!$B:$G,1,0)</f>
        <v>GABRIELAFERREYRA</v>
      </c>
      <c r="AI156" s="3" t="str">
        <f>VLOOKUP($AG156,[1]Sheet8!$B:$G,4,0)</f>
        <v>EE</v>
      </c>
      <c r="AJ156" s="3" t="str">
        <f>VLOOKUP($AG156,[1]Sheet8!$B:$G,5,0)</f>
        <v>L093530003</v>
      </c>
      <c r="AK156" s="3">
        <f>VLOOKUP($AG156,[1]Sheet8!$B:$G,6,0)</f>
        <v>8.22</v>
      </c>
      <c r="AL156" s="3" t="s">
        <v>53</v>
      </c>
      <c r="AM156" s="3" t="s">
        <v>57</v>
      </c>
      <c r="AN156" s="3">
        <v>1235.83</v>
      </c>
      <c r="AO156" s="3" t="s">
        <v>53</v>
      </c>
      <c r="AP156" s="3" t="s">
        <v>59</v>
      </c>
      <c r="AQ156" s="3">
        <v>42.39</v>
      </c>
      <c r="AR156" s="3" t="s">
        <v>53</v>
      </c>
      <c r="AS156" s="3" t="s">
        <v>60</v>
      </c>
      <c r="AT156" s="3">
        <v>8.22</v>
      </c>
    </row>
    <row r="157" s="3" customFormat="1" ht="15" customHeight="1" spans="1:46">
      <c r="A157" s="60">
        <v>132</v>
      </c>
      <c r="B157" s="61" t="s">
        <v>363</v>
      </c>
      <c r="C157" s="61" t="s">
        <v>364</v>
      </c>
      <c r="D157" s="61" t="s">
        <v>67</v>
      </c>
      <c r="E157" s="62">
        <v>30316</v>
      </c>
      <c r="F157" s="61">
        <v>94602</v>
      </c>
      <c r="G157" s="61" t="s">
        <v>53</v>
      </c>
      <c r="H157" s="63" t="s">
        <v>54</v>
      </c>
      <c r="I157" s="64" t="s">
        <v>53</v>
      </c>
      <c r="J157" s="63" t="s">
        <v>56</v>
      </c>
      <c r="K157" s="65" t="s">
        <v>57</v>
      </c>
      <c r="L157" s="66">
        <v>1235.83</v>
      </c>
      <c r="M157" s="67" t="s">
        <v>81</v>
      </c>
      <c r="N157" s="67" t="s">
        <v>59</v>
      </c>
      <c r="O157" s="67">
        <v>84.72</v>
      </c>
      <c r="P157" s="68" t="s">
        <v>53</v>
      </c>
      <c r="Q157" s="67" t="s">
        <v>60</v>
      </c>
      <c r="R157" s="67">
        <v>8.22</v>
      </c>
      <c r="S157" s="69" t="s">
        <v>61</v>
      </c>
      <c r="T157" s="69">
        <v>250000</v>
      </c>
      <c r="U157" s="69"/>
      <c r="V157" s="69" t="s">
        <v>62</v>
      </c>
      <c r="W157" s="69">
        <v>9072.51</v>
      </c>
      <c r="X157" s="69"/>
      <c r="Y157" s="69" t="s">
        <v>63</v>
      </c>
      <c r="Z157" s="69">
        <v>1884</v>
      </c>
      <c r="AA157" s="69"/>
      <c r="AB157" s="70"/>
      <c r="AC157" s="69" t="s">
        <v>95</v>
      </c>
      <c r="AD157" s="69"/>
      <c r="AE157" s="71">
        <v>169013</v>
      </c>
      <c r="AF157" s="69"/>
      <c r="AG157" s="3" t="str">
        <f t="shared" si="5"/>
        <v>PeterFigueroa</v>
      </c>
      <c r="AH157" s="3" t="str">
        <f>VLOOKUP($AG157,[1]Sheet8!$B:$G,1,0)</f>
        <v>PETERFIGUEROA</v>
      </c>
      <c r="AI157" s="3" t="str">
        <f>VLOOKUP($AG157,[1]Sheet8!$B:$G,4,0)</f>
        <v>EE</v>
      </c>
      <c r="AJ157" s="3" t="str">
        <f>VLOOKUP($AG157,[1]Sheet8!$B:$G,5,0)</f>
        <v>L093530003</v>
      </c>
      <c r="AK157" s="3">
        <f>VLOOKUP($AG157,[1]Sheet8!$B:$G,6,0)</f>
        <v>8.22</v>
      </c>
      <c r="AL157" s="3" t="s">
        <v>53</v>
      </c>
      <c r="AM157" s="3" t="s">
        <v>57</v>
      </c>
      <c r="AN157" s="3">
        <v>1235.83</v>
      </c>
      <c r="AO157" s="3" t="s">
        <v>81</v>
      </c>
      <c r="AP157" s="3" t="s">
        <v>59</v>
      </c>
      <c r="AQ157" s="3">
        <v>84.72</v>
      </c>
      <c r="AR157" s="3" t="s">
        <v>53</v>
      </c>
      <c r="AS157" s="3" t="s">
        <v>60</v>
      </c>
      <c r="AT157" s="3">
        <v>8.22</v>
      </c>
    </row>
    <row r="158" s="3" customFormat="1" ht="15" customHeight="1" spans="1:46">
      <c r="A158" s="60">
        <v>133</v>
      </c>
      <c r="B158" s="61" t="s">
        <v>365</v>
      </c>
      <c r="C158" s="61" t="s">
        <v>366</v>
      </c>
      <c r="D158" s="61" t="s">
        <v>67</v>
      </c>
      <c r="E158" s="62">
        <v>26349</v>
      </c>
      <c r="F158" s="61">
        <v>98277</v>
      </c>
      <c r="G158" s="61" t="s">
        <v>53</v>
      </c>
      <c r="H158" s="63" t="s">
        <v>54</v>
      </c>
      <c r="I158" s="64" t="s">
        <v>81</v>
      </c>
      <c r="J158" s="63" t="s">
        <v>56</v>
      </c>
      <c r="K158" s="65" t="s">
        <v>57</v>
      </c>
      <c r="L158" s="66">
        <v>2718.81</v>
      </c>
      <c r="M158" s="67" t="s">
        <v>81</v>
      </c>
      <c r="N158" s="67" t="s">
        <v>59</v>
      </c>
      <c r="O158" s="67">
        <v>84.72</v>
      </c>
      <c r="P158" s="68" t="s">
        <v>81</v>
      </c>
      <c r="Q158" s="67" t="s">
        <v>60</v>
      </c>
      <c r="R158" s="67">
        <v>16.48</v>
      </c>
      <c r="S158" s="69" t="s">
        <v>61</v>
      </c>
      <c r="T158" s="69">
        <v>250000</v>
      </c>
      <c r="U158" s="69"/>
      <c r="V158" s="69" t="s">
        <v>62</v>
      </c>
      <c r="W158" s="69">
        <v>10000</v>
      </c>
      <c r="X158" s="69"/>
      <c r="Y158" s="69" t="s">
        <v>63</v>
      </c>
      <c r="Z158" s="69">
        <v>2000</v>
      </c>
      <c r="AA158" s="69"/>
      <c r="AB158" s="70"/>
      <c r="AC158" s="69" t="s">
        <v>367</v>
      </c>
      <c r="AD158" s="69"/>
      <c r="AE158" s="71">
        <v>405882</v>
      </c>
      <c r="AF158" s="69"/>
      <c r="AG158" s="3" t="str">
        <f t="shared" si="5"/>
        <v>TomFisher</v>
      </c>
      <c r="AH158" s="3" t="str">
        <f>VLOOKUP($AG158,[1]Sheet8!$B:$G,1,0)</f>
        <v>TOMFISHER</v>
      </c>
      <c r="AI158" s="3" t="str">
        <f>VLOOKUP($AG158,[1]Sheet8!$B:$G,4,0)</f>
        <v>ES</v>
      </c>
      <c r="AJ158" s="3" t="str">
        <f>VLOOKUP($AG158,[1]Sheet8!$B:$G,5,0)</f>
        <v>L093530003</v>
      </c>
      <c r="AK158" s="3">
        <f>VLOOKUP($AG158,[1]Sheet8!$B:$G,6,0)</f>
        <v>16.48</v>
      </c>
      <c r="AL158" s="3" t="s">
        <v>81</v>
      </c>
      <c r="AM158" s="3" t="s">
        <v>57</v>
      </c>
      <c r="AN158" s="3">
        <v>2718.81</v>
      </c>
      <c r="AO158" s="3" t="s">
        <v>81</v>
      </c>
      <c r="AP158" s="3" t="s">
        <v>59</v>
      </c>
      <c r="AQ158" s="3">
        <v>84.72</v>
      </c>
      <c r="AR158" s="3" t="s">
        <v>81</v>
      </c>
      <c r="AS158" s="3" t="s">
        <v>60</v>
      </c>
      <c r="AT158" s="3">
        <v>16.48</v>
      </c>
    </row>
    <row r="159" s="3" customFormat="1" ht="15" customHeight="1" spans="1:46">
      <c r="A159" s="60">
        <v>134</v>
      </c>
      <c r="B159" s="61" t="s">
        <v>368</v>
      </c>
      <c r="C159" s="61" t="s">
        <v>369</v>
      </c>
      <c r="D159" s="61" t="s">
        <v>52</v>
      </c>
      <c r="E159" s="62">
        <v>26655</v>
      </c>
      <c r="F159" s="61">
        <v>98277</v>
      </c>
      <c r="G159" s="61" t="s">
        <v>85</v>
      </c>
      <c r="H159" s="63">
        <v>133</v>
      </c>
      <c r="I159" s="64" t="s">
        <v>81</v>
      </c>
      <c r="J159" s="63" t="s">
        <v>56</v>
      </c>
      <c r="K159" s="65"/>
      <c r="L159" s="66"/>
      <c r="M159" s="67"/>
      <c r="N159" s="67"/>
      <c r="O159" s="67"/>
      <c r="P159" s="68"/>
      <c r="Q159" s="67"/>
      <c r="R159" s="67"/>
      <c r="S159" s="69"/>
      <c r="T159" s="69"/>
      <c r="U159" s="69"/>
      <c r="V159" s="69"/>
      <c r="W159" s="69"/>
      <c r="X159" s="69"/>
      <c r="Y159" s="69"/>
      <c r="Z159" s="69"/>
      <c r="AA159" s="69"/>
      <c r="AB159" s="70"/>
      <c r="AC159" s="69"/>
      <c r="AD159" s="69"/>
      <c r="AE159" s="71"/>
      <c r="AF159" s="69"/>
    </row>
    <row r="160" s="3" customFormat="1" ht="15" customHeight="1" spans="1:46">
      <c r="A160" s="60">
        <v>135</v>
      </c>
      <c r="B160" s="61" t="s">
        <v>370</v>
      </c>
      <c r="C160" s="61" t="s">
        <v>371</v>
      </c>
      <c r="D160" s="61" t="s">
        <v>52</v>
      </c>
      <c r="E160" s="62">
        <v>35882</v>
      </c>
      <c r="F160" s="61">
        <v>93065</v>
      </c>
      <c r="G160" s="61" t="s">
        <v>53</v>
      </c>
      <c r="H160" s="63" t="s">
        <v>54</v>
      </c>
      <c r="I160" s="64" t="s">
        <v>55</v>
      </c>
      <c r="J160" s="63" t="s">
        <v>56</v>
      </c>
      <c r="K160" s="65" t="s">
        <v>57</v>
      </c>
      <c r="L160" s="66">
        <v>2224.48</v>
      </c>
      <c r="M160" s="67" t="s">
        <v>81</v>
      </c>
      <c r="N160" s="67" t="s">
        <v>59</v>
      </c>
      <c r="O160" s="67">
        <v>84.72</v>
      </c>
      <c r="P160" s="68" t="s">
        <v>81</v>
      </c>
      <c r="Q160" s="67" t="s">
        <v>60</v>
      </c>
      <c r="R160" s="67">
        <v>16.48</v>
      </c>
      <c r="S160" s="69" t="s">
        <v>61</v>
      </c>
      <c r="T160" s="69">
        <v>138000</v>
      </c>
      <c r="U160" s="69"/>
      <c r="V160" s="69" t="s">
        <v>62</v>
      </c>
      <c r="W160" s="69">
        <v>3813.52</v>
      </c>
      <c r="X160" s="69"/>
      <c r="Y160" s="69" t="s">
        <v>63</v>
      </c>
      <c r="Z160" s="69">
        <v>792</v>
      </c>
      <c r="AA160" s="69"/>
      <c r="AB160" s="70"/>
      <c r="AC160" s="69" t="s">
        <v>165</v>
      </c>
      <c r="AD160" s="69"/>
      <c r="AE160" s="71">
        <v>70699</v>
      </c>
      <c r="AF160" s="69"/>
      <c r="AG160" s="3" t="str">
        <f>B160&amp;C160</f>
        <v>LaurieFlores</v>
      </c>
      <c r="AH160" s="3" t="str">
        <f>VLOOKUP($AG160,[1]Sheet8!$B:$G,1,0)</f>
        <v>LAURIEFLORES</v>
      </c>
      <c r="AI160" s="3" t="str">
        <f>VLOOKUP($AG160,[1]Sheet8!$B:$G,4,0)</f>
        <v>ES</v>
      </c>
      <c r="AJ160" s="3" t="str">
        <f>VLOOKUP($AG160,[1]Sheet8!$B:$G,5,0)</f>
        <v>L093530003</v>
      </c>
      <c r="AK160" s="3">
        <f>VLOOKUP($AG160,[1]Sheet8!$B:$G,6,0)</f>
        <v>16.48</v>
      </c>
      <c r="AL160" s="3" t="s">
        <v>55</v>
      </c>
      <c r="AM160" s="3" t="s">
        <v>57</v>
      </c>
      <c r="AN160" s="3">
        <v>2224.48</v>
      </c>
      <c r="AO160" s="3" t="s">
        <v>81</v>
      </c>
      <c r="AP160" s="3" t="s">
        <v>59</v>
      </c>
      <c r="AQ160" s="3">
        <v>84.72</v>
      </c>
      <c r="AR160" s="3" t="s">
        <v>81</v>
      </c>
      <c r="AS160" s="3" t="s">
        <v>60</v>
      </c>
      <c r="AT160" s="3">
        <v>16.48</v>
      </c>
    </row>
    <row r="161" s="3" customFormat="1" ht="15" customHeight="1" spans="1:46">
      <c r="A161" s="60">
        <v>136</v>
      </c>
      <c r="B161" s="61" t="s">
        <v>372</v>
      </c>
      <c r="C161" s="61" t="s">
        <v>373</v>
      </c>
      <c r="D161" s="61" t="s">
        <v>67</v>
      </c>
      <c r="E161" s="62">
        <v>46072</v>
      </c>
      <c r="F161" s="61">
        <v>93065</v>
      </c>
      <c r="G161" s="61" t="s">
        <v>68</v>
      </c>
      <c r="H161" s="63">
        <v>135</v>
      </c>
      <c r="I161" s="64" t="s">
        <v>55</v>
      </c>
      <c r="J161" s="63" t="s">
        <v>56</v>
      </c>
      <c r="K161" s="65"/>
      <c r="L161" s="66"/>
      <c r="M161" s="67"/>
      <c r="N161" s="67"/>
      <c r="O161" s="67"/>
      <c r="P161" s="68"/>
      <c r="Q161" s="67"/>
      <c r="R161" s="67"/>
      <c r="S161" s="69"/>
      <c r="T161" s="69"/>
      <c r="U161" s="69"/>
      <c r="V161" s="69"/>
      <c r="W161" s="69"/>
      <c r="X161" s="69"/>
      <c r="Y161" s="69"/>
      <c r="Z161" s="69"/>
      <c r="AA161" s="69"/>
      <c r="AB161" s="70"/>
      <c r="AC161" s="69"/>
      <c r="AD161" s="69"/>
      <c r="AE161" s="71"/>
      <c r="AF161" s="69"/>
    </row>
    <row r="162" s="3" customFormat="1" ht="15" customHeight="1" spans="1:46">
      <c r="A162" s="60">
        <v>137</v>
      </c>
      <c r="B162" s="61" t="s">
        <v>374</v>
      </c>
      <c r="C162" s="61" t="s">
        <v>375</v>
      </c>
      <c r="D162" s="61" t="s">
        <v>67</v>
      </c>
      <c r="E162" s="62">
        <v>31148</v>
      </c>
      <c r="F162" s="61">
        <v>10002</v>
      </c>
      <c r="G162" s="61" t="s">
        <v>53</v>
      </c>
      <c r="H162" s="63" t="s">
        <v>54</v>
      </c>
      <c r="I162" s="64" t="s">
        <v>58</v>
      </c>
      <c r="J162" s="63" t="s">
        <v>56</v>
      </c>
      <c r="K162" s="65" t="s">
        <v>57</v>
      </c>
      <c r="L162" s="66">
        <v>3831.06</v>
      </c>
      <c r="M162" s="67" t="s">
        <v>58</v>
      </c>
      <c r="N162" s="67" t="s">
        <v>59</v>
      </c>
      <c r="O162" s="67">
        <v>147.1</v>
      </c>
      <c r="P162" s="68" t="s">
        <v>58</v>
      </c>
      <c r="Q162" s="67" t="s">
        <v>60</v>
      </c>
      <c r="R162" s="67">
        <v>23</v>
      </c>
      <c r="S162" s="69" t="s">
        <v>61</v>
      </c>
      <c r="T162" s="69">
        <v>250000</v>
      </c>
      <c r="U162" s="69"/>
      <c r="V162" s="69" t="s">
        <v>62</v>
      </c>
      <c r="W162" s="69">
        <v>10000</v>
      </c>
      <c r="X162" s="69"/>
      <c r="Y162" s="69" t="s">
        <v>63</v>
      </c>
      <c r="Z162" s="69">
        <v>2000</v>
      </c>
      <c r="AA162" s="69"/>
      <c r="AB162" s="70"/>
      <c r="AC162" s="69" t="s">
        <v>376</v>
      </c>
      <c r="AD162" s="69"/>
      <c r="AE162" s="71">
        <v>226600</v>
      </c>
      <c r="AF162" s="69"/>
      <c r="AG162" s="3" t="str">
        <f>B162&amp;C162</f>
        <v>LanceFraenkel</v>
      </c>
      <c r="AH162" s="3" t="str">
        <f>VLOOKUP($AG162,[1]Sheet8!$B:$G,1,0)</f>
        <v>LANCEFRAENKEL</v>
      </c>
      <c r="AI162" s="3" t="str">
        <f>VLOOKUP($AG162,[1]Sheet8!$B:$G,4,0)</f>
        <v>FAM</v>
      </c>
      <c r="AJ162" s="3" t="str">
        <f>VLOOKUP($AG162,[1]Sheet8!$B:$G,5,0)</f>
        <v>L093530003</v>
      </c>
      <c r="AK162" s="3">
        <f>VLOOKUP($AG162,[1]Sheet8!$B:$G,6,0)</f>
        <v>23</v>
      </c>
      <c r="AL162" s="3" t="s">
        <v>58</v>
      </c>
      <c r="AM162" s="3" t="s">
        <v>57</v>
      </c>
      <c r="AN162" s="3">
        <v>3831.06</v>
      </c>
      <c r="AO162" s="3" t="s">
        <v>58</v>
      </c>
      <c r="AP162" s="3" t="s">
        <v>59</v>
      </c>
      <c r="AQ162" s="3">
        <v>147.1</v>
      </c>
      <c r="AR162" s="3" t="s">
        <v>58</v>
      </c>
      <c r="AS162" s="3" t="s">
        <v>60</v>
      </c>
      <c r="AT162" s="3">
        <v>23</v>
      </c>
    </row>
    <row r="163" s="3" customFormat="1" ht="15" customHeight="1" spans="1:46">
      <c r="A163" s="60">
        <v>138</v>
      </c>
      <c r="B163" s="61" t="s">
        <v>377</v>
      </c>
      <c r="C163" s="61" t="s">
        <v>375</v>
      </c>
      <c r="D163" s="61" t="s">
        <v>52</v>
      </c>
      <c r="E163" s="62">
        <v>44879</v>
      </c>
      <c r="F163" s="61">
        <v>10002</v>
      </c>
      <c r="G163" s="61" t="s">
        <v>68</v>
      </c>
      <c r="H163" s="63">
        <v>137</v>
      </c>
      <c r="I163" s="64" t="s">
        <v>58</v>
      </c>
      <c r="J163" s="63" t="s">
        <v>56</v>
      </c>
      <c r="K163" s="65"/>
      <c r="L163" s="66"/>
      <c r="M163" s="67"/>
      <c r="N163" s="67"/>
      <c r="O163" s="67"/>
      <c r="P163" s="68"/>
      <c r="Q163" s="67"/>
      <c r="R163" s="67"/>
      <c r="S163" s="69"/>
      <c r="T163" s="69"/>
      <c r="U163" s="69"/>
      <c r="V163" s="69"/>
      <c r="W163" s="69"/>
      <c r="X163" s="69"/>
      <c r="Y163" s="69"/>
      <c r="Z163" s="69"/>
      <c r="AA163" s="69"/>
      <c r="AB163" s="70"/>
      <c r="AC163" s="69"/>
      <c r="AD163" s="69"/>
      <c r="AE163" s="71"/>
      <c r="AF163" s="69"/>
    </row>
    <row r="164" s="3" customFormat="1" ht="15" customHeight="1" spans="1:46">
      <c r="A164" s="60">
        <v>139</v>
      </c>
      <c r="B164" s="61" t="s">
        <v>378</v>
      </c>
      <c r="C164" s="61" t="s">
        <v>375</v>
      </c>
      <c r="D164" s="61" t="s">
        <v>67</v>
      </c>
      <c r="E164" s="62">
        <v>44270</v>
      </c>
      <c r="F164" s="61">
        <v>10002</v>
      </c>
      <c r="G164" s="61" t="s">
        <v>68</v>
      </c>
      <c r="H164" s="63">
        <v>137</v>
      </c>
      <c r="I164" s="64" t="s">
        <v>58</v>
      </c>
      <c r="J164" s="63" t="s">
        <v>56</v>
      </c>
      <c r="K164" s="65"/>
      <c r="L164" s="66"/>
      <c r="M164" s="67"/>
      <c r="N164" s="67"/>
      <c r="O164" s="67"/>
      <c r="P164" s="68"/>
      <c r="Q164" s="67"/>
      <c r="R164" s="67"/>
      <c r="S164" s="69"/>
      <c r="T164" s="69"/>
      <c r="U164" s="69"/>
      <c r="V164" s="69"/>
      <c r="W164" s="69"/>
      <c r="X164" s="69"/>
      <c r="Y164" s="69"/>
      <c r="Z164" s="69"/>
      <c r="AA164" s="69"/>
      <c r="AB164" s="70"/>
      <c r="AC164" s="69"/>
      <c r="AD164" s="69"/>
      <c r="AE164" s="71"/>
      <c r="AF164" s="69"/>
    </row>
    <row r="165" s="3" customFormat="1" ht="15" customHeight="1" spans="1:46">
      <c r="A165" s="60">
        <v>140</v>
      </c>
      <c r="B165" s="61" t="s">
        <v>379</v>
      </c>
      <c r="C165" s="61" t="s">
        <v>375</v>
      </c>
      <c r="D165" s="61" t="s">
        <v>52</v>
      </c>
      <c r="E165" s="62">
        <v>31291</v>
      </c>
      <c r="F165" s="61">
        <v>10002</v>
      </c>
      <c r="G165" s="61" t="s">
        <v>85</v>
      </c>
      <c r="H165" s="63">
        <v>137</v>
      </c>
      <c r="I165" s="64" t="s">
        <v>58</v>
      </c>
      <c r="J165" s="63" t="s">
        <v>56</v>
      </c>
      <c r="K165" s="65"/>
      <c r="L165" s="66"/>
      <c r="M165" s="67"/>
      <c r="N165" s="67"/>
      <c r="O165" s="67"/>
      <c r="P165" s="68"/>
      <c r="Q165" s="67"/>
      <c r="R165" s="67"/>
      <c r="S165" s="69"/>
      <c r="T165" s="69"/>
      <c r="U165" s="69"/>
      <c r="V165" s="69"/>
      <c r="W165" s="69"/>
      <c r="X165" s="69"/>
      <c r="Y165" s="69"/>
      <c r="Z165" s="69"/>
      <c r="AA165" s="69"/>
      <c r="AB165" s="70"/>
      <c r="AC165" s="69"/>
      <c r="AD165" s="69"/>
      <c r="AE165" s="71"/>
      <c r="AF165" s="69"/>
    </row>
    <row r="166" s="3" customFormat="1" ht="15" customHeight="1" spans="1:46">
      <c r="A166" s="60">
        <v>141</v>
      </c>
      <c r="B166" s="61" t="s">
        <v>380</v>
      </c>
      <c r="C166" s="61" t="s">
        <v>381</v>
      </c>
      <c r="D166" s="61" t="s">
        <v>52</v>
      </c>
      <c r="E166" s="62">
        <v>36775</v>
      </c>
      <c r="F166" s="61">
        <v>92109</v>
      </c>
      <c r="G166" s="61" t="s">
        <v>53</v>
      </c>
      <c r="H166" s="63" t="s">
        <v>54</v>
      </c>
      <c r="I166" s="64" t="s">
        <v>53</v>
      </c>
      <c r="J166" s="63" t="s">
        <v>56</v>
      </c>
      <c r="K166" s="65" t="s">
        <v>57</v>
      </c>
      <c r="L166" s="66">
        <v>1235.83</v>
      </c>
      <c r="M166" s="67" t="s">
        <v>53</v>
      </c>
      <c r="N166" s="67" t="s">
        <v>59</v>
      </c>
      <c r="O166" s="67">
        <v>42.39</v>
      </c>
      <c r="P166" s="68" t="s">
        <v>53</v>
      </c>
      <c r="Q166" s="67" t="s">
        <v>60</v>
      </c>
      <c r="R166" s="67">
        <v>8.22</v>
      </c>
      <c r="S166" s="69" t="s">
        <v>61</v>
      </c>
      <c r="T166" s="69">
        <v>182000</v>
      </c>
      <c r="U166" s="69"/>
      <c r="V166" s="69" t="s">
        <v>62</v>
      </c>
      <c r="W166" s="69">
        <v>5055.81</v>
      </c>
      <c r="X166" s="69"/>
      <c r="Y166" s="69" t="s">
        <v>63</v>
      </c>
      <c r="Z166" s="69">
        <v>1050</v>
      </c>
      <c r="AA166" s="69"/>
      <c r="AB166" s="70"/>
      <c r="AC166" s="69" t="s">
        <v>144</v>
      </c>
      <c r="AD166" s="69"/>
      <c r="AE166" s="71">
        <v>94185</v>
      </c>
      <c r="AF166" s="69"/>
      <c r="AG166" s="3" t="str">
        <f>B166&amp;C166</f>
        <v>NoelleFreeburg</v>
      </c>
      <c r="AH166" s="3" t="str">
        <f>VLOOKUP($AG166,[1]Sheet8!$B:$G,1,0)</f>
        <v>NOELLEFREEBURG</v>
      </c>
      <c r="AI166" s="3" t="str">
        <f>VLOOKUP($AG166,[1]Sheet8!$B:$G,4,0)</f>
        <v>EE</v>
      </c>
      <c r="AJ166" s="3" t="str">
        <f>VLOOKUP($AG166,[1]Sheet8!$B:$G,5,0)</f>
        <v>L093530003</v>
      </c>
      <c r="AK166" s="3">
        <f>VLOOKUP($AG166,[1]Sheet8!$B:$G,6,0)</f>
        <v>8.22</v>
      </c>
      <c r="AL166" s="3" t="s">
        <v>53</v>
      </c>
      <c r="AM166" s="3" t="s">
        <v>57</v>
      </c>
      <c r="AN166" s="3">
        <v>1235.83</v>
      </c>
      <c r="AO166" s="3" t="s">
        <v>53</v>
      </c>
      <c r="AP166" s="3" t="s">
        <v>59</v>
      </c>
      <c r="AQ166" s="3">
        <v>42.39</v>
      </c>
      <c r="AR166" s="3" t="s">
        <v>53</v>
      </c>
      <c r="AS166" s="3" t="s">
        <v>60</v>
      </c>
      <c r="AT166" s="3">
        <v>8.22</v>
      </c>
    </row>
    <row r="167" s="3" customFormat="1" ht="15" customHeight="1" spans="1:46">
      <c r="A167" s="60">
        <v>142</v>
      </c>
      <c r="B167" s="61" t="s">
        <v>382</v>
      </c>
      <c r="C167" s="61" t="s">
        <v>383</v>
      </c>
      <c r="D167" s="61" t="s">
        <v>67</v>
      </c>
      <c r="E167" s="62">
        <v>32478</v>
      </c>
      <c r="F167" s="61">
        <v>55811</v>
      </c>
      <c r="G167" s="61" t="s">
        <v>53</v>
      </c>
      <c r="H167" s="63" t="s">
        <v>54</v>
      </c>
      <c r="I167" s="64" t="s">
        <v>119</v>
      </c>
      <c r="J167" s="63" t="s">
        <v>56</v>
      </c>
      <c r="K167" s="65"/>
      <c r="L167" s="66"/>
      <c r="M167" s="67"/>
      <c r="N167" s="67"/>
      <c r="O167" s="67"/>
      <c r="P167" s="68" t="s">
        <v>53</v>
      </c>
      <c r="Q167" s="67" t="s">
        <v>60</v>
      </c>
      <c r="R167" s="67">
        <v>8.22</v>
      </c>
      <c r="S167" s="69" t="s">
        <v>61</v>
      </c>
      <c r="T167" s="69">
        <v>250000</v>
      </c>
      <c r="U167" s="69"/>
      <c r="V167" s="69" t="s">
        <v>62</v>
      </c>
      <c r="W167" s="69">
        <v>7057.74</v>
      </c>
      <c r="X167" s="69"/>
      <c r="Y167" s="69" t="s">
        <v>63</v>
      </c>
      <c r="Z167" s="69">
        <v>1466</v>
      </c>
      <c r="AA167" s="69"/>
      <c r="AB167" s="70"/>
      <c r="AC167" s="69" t="s">
        <v>384</v>
      </c>
      <c r="AD167" s="69"/>
      <c r="AE167" s="71">
        <v>130843</v>
      </c>
      <c r="AF167" s="69"/>
      <c r="AG167" s="3" t="str">
        <f>B167&amp;C167</f>
        <v>GregFreedman Ellis</v>
      </c>
      <c r="AH167" s="3" t="str">
        <f>VLOOKUP($AG167,[1]Sheet8!$B:$G,1,0)</f>
        <v>GREGFREEDMAN ELLIS</v>
      </c>
      <c r="AI167" s="3" t="str">
        <f>VLOOKUP($AG167,[1]Sheet8!$B:$G,4,0)</f>
        <v>EE</v>
      </c>
      <c r="AJ167" s="3" t="str">
        <f>VLOOKUP($AG167,[1]Sheet8!$B:$G,5,0)</f>
        <v>L093530003</v>
      </c>
      <c r="AK167" s="3">
        <f>VLOOKUP($AG167,[1]Sheet8!$B:$G,6,0)</f>
        <v>8.22</v>
      </c>
      <c r="AR167" s="3" t="s">
        <v>53</v>
      </c>
      <c r="AS167" s="3" t="s">
        <v>60</v>
      </c>
      <c r="AT167" s="3">
        <v>8.22</v>
      </c>
    </row>
    <row r="168" s="3" customFormat="1" ht="15" customHeight="1" spans="1:46">
      <c r="A168" s="60">
        <v>143</v>
      </c>
      <c r="B168" s="61" t="s">
        <v>385</v>
      </c>
      <c r="C168" s="61" t="s">
        <v>386</v>
      </c>
      <c r="D168" s="61" t="s">
        <v>67</v>
      </c>
      <c r="E168" s="62">
        <v>33571</v>
      </c>
      <c r="F168" s="61">
        <v>49097</v>
      </c>
      <c r="G168" s="61" t="s">
        <v>53</v>
      </c>
      <c r="H168" s="63" t="s">
        <v>54</v>
      </c>
      <c r="I168" s="64" t="s">
        <v>81</v>
      </c>
      <c r="J168" s="63" t="s">
        <v>56</v>
      </c>
      <c r="K168" s="65" t="s">
        <v>82</v>
      </c>
      <c r="L168" s="66">
        <v>1719.95</v>
      </c>
      <c r="M168" s="67" t="s">
        <v>81</v>
      </c>
      <c r="N168" s="67" t="s">
        <v>59</v>
      </c>
      <c r="O168" s="67">
        <v>84.72</v>
      </c>
      <c r="P168" s="68" t="s">
        <v>81</v>
      </c>
      <c r="Q168" s="67" t="s">
        <v>60</v>
      </c>
      <c r="R168" s="67">
        <v>16.48</v>
      </c>
      <c r="S168" s="69" t="s">
        <v>61</v>
      </c>
      <c r="T168" s="69">
        <v>241000</v>
      </c>
      <c r="U168" s="69"/>
      <c r="V168" s="69" t="s">
        <v>62</v>
      </c>
      <c r="W168" s="69">
        <v>6683.22</v>
      </c>
      <c r="X168" s="69"/>
      <c r="Y168" s="69" t="s">
        <v>63</v>
      </c>
      <c r="Z168" s="69">
        <v>1388</v>
      </c>
      <c r="AA168" s="69"/>
      <c r="AB168" s="70"/>
      <c r="AC168" s="69" t="s">
        <v>387</v>
      </c>
      <c r="AD168" s="69"/>
      <c r="AE168" s="71">
        <v>123901</v>
      </c>
      <c r="AF168" s="69"/>
      <c r="AG168" s="3" t="str">
        <f>B168&amp;C168</f>
        <v>JoshuaFry</v>
      </c>
      <c r="AH168" s="3" t="str">
        <f>VLOOKUP($AG168,[1]Sheet8!$B:$G,1,0)</f>
        <v>JOSHUAFRY</v>
      </c>
      <c r="AI168" s="3" t="str">
        <f>VLOOKUP($AG168,[1]Sheet8!$B:$G,4,0)</f>
        <v>ES</v>
      </c>
      <c r="AJ168" s="3" t="str">
        <f>VLOOKUP($AG168,[1]Sheet8!$B:$G,5,0)</f>
        <v>L093530003</v>
      </c>
      <c r="AK168" s="3">
        <f>VLOOKUP($AG168,[1]Sheet8!$B:$G,6,0)</f>
        <v>16.48</v>
      </c>
      <c r="AL168" s="3" t="s">
        <v>81</v>
      </c>
      <c r="AM168" s="3" t="s">
        <v>82</v>
      </c>
      <c r="AN168" s="3">
        <v>1719.95</v>
      </c>
      <c r="AO168" s="3" t="s">
        <v>81</v>
      </c>
      <c r="AP168" s="3" t="s">
        <v>59</v>
      </c>
      <c r="AQ168" s="3">
        <v>84.72</v>
      </c>
      <c r="AR168" s="3" t="s">
        <v>81</v>
      </c>
      <c r="AS168" s="3" t="s">
        <v>60</v>
      </c>
      <c r="AT168" s="3">
        <v>16.48</v>
      </c>
    </row>
    <row r="169" s="3" customFormat="1" ht="15" customHeight="1" spans="1:46">
      <c r="A169" s="60">
        <v>144</v>
      </c>
      <c r="B169" s="61" t="s">
        <v>388</v>
      </c>
      <c r="C169" s="61" t="s">
        <v>386</v>
      </c>
      <c r="D169" s="61" t="s">
        <v>52</v>
      </c>
      <c r="E169" s="62">
        <v>34959</v>
      </c>
      <c r="F169" s="61">
        <v>49097</v>
      </c>
      <c r="G169" s="61" t="s">
        <v>85</v>
      </c>
      <c r="H169" s="63">
        <v>143</v>
      </c>
      <c r="I169" s="64" t="s">
        <v>81</v>
      </c>
      <c r="J169" s="63" t="s">
        <v>56</v>
      </c>
      <c r="K169" s="65"/>
      <c r="L169" s="66"/>
      <c r="M169" s="67"/>
      <c r="N169" s="67"/>
      <c r="O169" s="67"/>
      <c r="P169" s="68"/>
      <c r="Q169" s="67"/>
      <c r="R169" s="67"/>
      <c r="S169" s="69"/>
      <c r="T169" s="69"/>
      <c r="U169" s="69"/>
      <c r="V169" s="69"/>
      <c r="W169" s="69"/>
      <c r="X169" s="69"/>
      <c r="Y169" s="69"/>
      <c r="Z169" s="69"/>
      <c r="AA169" s="69"/>
      <c r="AB169" s="70"/>
      <c r="AC169" s="69"/>
      <c r="AD169" s="69"/>
      <c r="AE169" s="71"/>
      <c r="AF169" s="69"/>
    </row>
    <row r="170" s="3" customFormat="1" ht="15" customHeight="1" spans="1:46">
      <c r="A170" s="60">
        <v>145</v>
      </c>
      <c r="B170" s="61" t="s">
        <v>389</v>
      </c>
      <c r="C170" s="61" t="s">
        <v>390</v>
      </c>
      <c r="D170" s="61" t="s">
        <v>67</v>
      </c>
      <c r="E170" s="62">
        <v>32250</v>
      </c>
      <c r="F170" s="61">
        <v>94063</v>
      </c>
      <c r="G170" s="61" t="s">
        <v>53</v>
      </c>
      <c r="H170" s="63" t="s">
        <v>54</v>
      </c>
      <c r="I170" s="64" t="s">
        <v>53</v>
      </c>
      <c r="J170" s="63" t="s">
        <v>56</v>
      </c>
      <c r="K170" s="65" t="s">
        <v>57</v>
      </c>
      <c r="L170" s="66">
        <v>1235.83</v>
      </c>
      <c r="M170" s="67" t="s">
        <v>53</v>
      </c>
      <c r="N170" s="67" t="s">
        <v>59</v>
      </c>
      <c r="O170" s="67">
        <v>42.39</v>
      </c>
      <c r="P170" s="68" t="s">
        <v>53</v>
      </c>
      <c r="Q170" s="67" t="s">
        <v>60</v>
      </c>
      <c r="R170" s="67">
        <v>8.22</v>
      </c>
      <c r="S170" s="69" t="s">
        <v>61</v>
      </c>
      <c r="T170" s="69">
        <v>210000</v>
      </c>
      <c r="U170" s="69"/>
      <c r="V170" s="69" t="s">
        <v>62</v>
      </c>
      <c r="W170" s="69">
        <v>5833.63</v>
      </c>
      <c r="X170" s="69"/>
      <c r="Y170" s="69" t="s">
        <v>63</v>
      </c>
      <c r="Z170" s="69">
        <v>1212</v>
      </c>
      <c r="AA170" s="69"/>
      <c r="AB170" s="70"/>
      <c r="AC170" s="69" t="s">
        <v>343</v>
      </c>
      <c r="AD170" s="69"/>
      <c r="AE170" s="71">
        <v>105000</v>
      </c>
      <c r="AF170" s="69"/>
      <c r="AG170" s="3" t="str">
        <f>B170&amp;C170</f>
        <v>JaredFuruta</v>
      </c>
      <c r="AH170" s="3" t="str">
        <f>VLOOKUP($AG170,[1]Sheet8!$B:$G,1,0)</f>
        <v>JAREDFURUTA</v>
      </c>
      <c r="AI170" s="3" t="str">
        <f>VLOOKUP($AG170,[1]Sheet8!$B:$G,4,0)</f>
        <v>EE</v>
      </c>
      <c r="AJ170" s="3" t="str">
        <f>VLOOKUP($AG170,[1]Sheet8!$B:$G,5,0)</f>
        <v>L093530003</v>
      </c>
      <c r="AK170" s="3">
        <f>VLOOKUP($AG170,[1]Sheet8!$B:$G,6,0)</f>
        <v>8.22</v>
      </c>
      <c r="AL170" s="3" t="s">
        <v>53</v>
      </c>
      <c r="AM170" s="3" t="s">
        <v>57</v>
      </c>
      <c r="AN170" s="3">
        <v>1235.83</v>
      </c>
      <c r="AO170" s="3" t="s">
        <v>53</v>
      </c>
      <c r="AP170" s="3" t="s">
        <v>59</v>
      </c>
      <c r="AQ170" s="3">
        <v>42.39</v>
      </c>
      <c r="AR170" s="3" t="s">
        <v>53</v>
      </c>
      <c r="AS170" s="3" t="s">
        <v>60</v>
      </c>
      <c r="AT170" s="3">
        <v>8.22</v>
      </c>
    </row>
    <row r="171" s="3" customFormat="1" ht="15" customHeight="1" spans="1:46">
      <c r="A171" s="60">
        <v>146</v>
      </c>
      <c r="B171" s="61" t="s">
        <v>391</v>
      </c>
      <c r="C171" s="61" t="s">
        <v>392</v>
      </c>
      <c r="D171" s="61" t="s">
        <v>67</v>
      </c>
      <c r="E171" s="62">
        <v>31016</v>
      </c>
      <c r="F171" s="61">
        <v>97224</v>
      </c>
      <c r="G171" s="61" t="s">
        <v>53</v>
      </c>
      <c r="H171" s="63" t="s">
        <v>54</v>
      </c>
      <c r="I171" s="64" t="s">
        <v>53</v>
      </c>
      <c r="J171" s="63" t="s">
        <v>56</v>
      </c>
      <c r="K171" s="65" t="s">
        <v>57</v>
      </c>
      <c r="L171" s="66">
        <v>1235.83</v>
      </c>
      <c r="M171" s="67" t="s">
        <v>53</v>
      </c>
      <c r="N171" s="67" t="s">
        <v>59</v>
      </c>
      <c r="O171" s="67">
        <v>42.39</v>
      </c>
      <c r="P171" s="68" t="s">
        <v>53</v>
      </c>
      <c r="Q171" s="67" t="s">
        <v>60</v>
      </c>
      <c r="R171" s="67">
        <v>8.22</v>
      </c>
      <c r="S171" s="69" t="s">
        <v>61</v>
      </c>
      <c r="T171" s="69">
        <v>199000</v>
      </c>
      <c r="U171" s="69"/>
      <c r="V171" s="69" t="s">
        <v>62</v>
      </c>
      <c r="W171" s="69">
        <v>5506</v>
      </c>
      <c r="X171" s="69"/>
      <c r="Y171" s="69" t="s">
        <v>63</v>
      </c>
      <c r="Z171" s="69">
        <v>1143</v>
      </c>
      <c r="AA171" s="69"/>
      <c r="AB171" s="70"/>
      <c r="AC171" s="69" t="s">
        <v>144</v>
      </c>
      <c r="AD171" s="69"/>
      <c r="AE171" s="71">
        <v>102076</v>
      </c>
      <c r="AF171" s="69"/>
      <c r="AG171" s="3" t="str">
        <f>B171&amp;C171</f>
        <v>KevinGaraventa</v>
      </c>
      <c r="AH171" s="3" t="str">
        <f>VLOOKUP($AG171,[1]Sheet8!$B:$G,1,0)</f>
        <v>KEVINGARAVENTA</v>
      </c>
      <c r="AI171" s="3" t="str">
        <f>VLOOKUP($AG171,[1]Sheet8!$B:$G,4,0)</f>
        <v>EE</v>
      </c>
      <c r="AJ171" s="3" t="str">
        <f>VLOOKUP($AG171,[1]Sheet8!$B:$G,5,0)</f>
        <v>L093530003</v>
      </c>
      <c r="AK171" s="3">
        <f>VLOOKUP($AG171,[1]Sheet8!$B:$G,6,0)</f>
        <v>8.22</v>
      </c>
      <c r="AL171" s="3" t="s">
        <v>53</v>
      </c>
      <c r="AM171" s="3" t="s">
        <v>57</v>
      </c>
      <c r="AN171" s="3">
        <v>1235.83</v>
      </c>
      <c r="AO171" s="3" t="s">
        <v>53</v>
      </c>
      <c r="AP171" s="3" t="s">
        <v>59</v>
      </c>
      <c r="AQ171" s="3">
        <v>42.39</v>
      </c>
      <c r="AR171" s="3" t="s">
        <v>53</v>
      </c>
      <c r="AS171" s="3" t="s">
        <v>60</v>
      </c>
      <c r="AT171" s="3">
        <v>8.22</v>
      </c>
    </row>
    <row r="172" s="3" customFormat="1" ht="15" customHeight="1" spans="1:46">
      <c r="A172" s="60">
        <v>147</v>
      </c>
      <c r="B172" s="61" t="s">
        <v>393</v>
      </c>
      <c r="C172" s="61" t="s">
        <v>394</v>
      </c>
      <c r="D172" s="61" t="s">
        <v>52</v>
      </c>
      <c r="E172" s="62">
        <v>22304</v>
      </c>
      <c r="F172" s="61">
        <v>91104</v>
      </c>
      <c r="G172" s="61" t="s">
        <v>53</v>
      </c>
      <c r="H172" s="63" t="s">
        <v>54</v>
      </c>
      <c r="I172" s="64" t="s">
        <v>81</v>
      </c>
      <c r="J172" s="63" t="s">
        <v>56</v>
      </c>
      <c r="K172" s="65" t="s">
        <v>57</v>
      </c>
      <c r="L172" s="66">
        <v>2718.81</v>
      </c>
      <c r="M172" s="67" t="s">
        <v>81</v>
      </c>
      <c r="N172" s="67" t="s">
        <v>59</v>
      </c>
      <c r="O172" s="67">
        <v>84.72</v>
      </c>
      <c r="P172" s="68" t="s">
        <v>81</v>
      </c>
      <c r="Q172" s="67" t="s">
        <v>60</v>
      </c>
      <c r="R172" s="67">
        <v>16.48</v>
      </c>
      <c r="S172" s="69" t="s">
        <v>61</v>
      </c>
      <c r="T172" s="69">
        <v>139100</v>
      </c>
      <c r="U172" s="69"/>
      <c r="V172" s="69" t="s">
        <v>62</v>
      </c>
      <c r="W172" s="69">
        <v>5927.35</v>
      </c>
      <c r="X172" s="69"/>
      <c r="Y172" s="69" t="s">
        <v>63</v>
      </c>
      <c r="Z172" s="69">
        <v>1231</v>
      </c>
      <c r="AA172" s="69"/>
      <c r="AB172" s="70"/>
      <c r="AC172" s="69" t="s">
        <v>395</v>
      </c>
      <c r="AD172" s="69"/>
      <c r="AE172" s="71">
        <v>109887</v>
      </c>
      <c r="AF172" s="69"/>
      <c r="AG172" s="3" t="str">
        <f>B172&amp;C172</f>
        <v>ConsueloGennaro</v>
      </c>
      <c r="AH172" s="3" t="str">
        <f>VLOOKUP($AG172,[1]Sheet8!$B:$G,1,0)</f>
        <v>CONSUELOGennaro</v>
      </c>
      <c r="AI172" s="3" t="str">
        <f>VLOOKUP($AG172,[1]Sheet8!$B:$G,4,0)</f>
        <v>ES</v>
      </c>
      <c r="AJ172" s="3" t="str">
        <f>VLOOKUP($AG172,[1]Sheet8!$B:$G,5,0)</f>
        <v>L093530003</v>
      </c>
      <c r="AK172" s="3">
        <f>VLOOKUP($AG172,[1]Sheet8!$B:$G,6,0)</f>
        <v>16.48</v>
      </c>
      <c r="AL172" s="3" t="s">
        <v>81</v>
      </c>
      <c r="AM172" s="3" t="s">
        <v>57</v>
      </c>
      <c r="AN172" s="3">
        <v>2718.81</v>
      </c>
      <c r="AO172" s="3" t="s">
        <v>81</v>
      </c>
      <c r="AP172" s="3" t="s">
        <v>59</v>
      </c>
      <c r="AQ172" s="3">
        <v>84.72</v>
      </c>
      <c r="AR172" s="3" t="s">
        <v>81</v>
      </c>
      <c r="AS172" s="3" t="s">
        <v>60</v>
      </c>
      <c r="AT172" s="3">
        <v>16.48</v>
      </c>
    </row>
    <row r="173" s="3" customFormat="1" ht="15" customHeight="1" spans="1:46">
      <c r="A173" s="60">
        <v>148</v>
      </c>
      <c r="B173" s="61" t="s">
        <v>396</v>
      </c>
      <c r="C173" s="61" t="s">
        <v>394</v>
      </c>
      <c r="D173" s="61" t="s">
        <v>67</v>
      </c>
      <c r="E173" s="62">
        <v>20042</v>
      </c>
      <c r="F173" s="61">
        <v>91104</v>
      </c>
      <c r="G173" s="61" t="s">
        <v>85</v>
      </c>
      <c r="H173" s="63">
        <v>147</v>
      </c>
      <c r="I173" s="64" t="s">
        <v>81</v>
      </c>
      <c r="J173" s="63" t="s">
        <v>56</v>
      </c>
      <c r="K173" s="65"/>
      <c r="L173" s="66"/>
      <c r="M173" s="67"/>
      <c r="N173" s="67"/>
      <c r="O173" s="67"/>
      <c r="P173" s="68"/>
      <c r="Q173" s="67"/>
      <c r="R173" s="67"/>
      <c r="S173" s="69"/>
      <c r="T173" s="69"/>
      <c r="U173" s="69"/>
      <c r="V173" s="69"/>
      <c r="W173" s="69"/>
      <c r="X173" s="69"/>
      <c r="Y173" s="69"/>
      <c r="Z173" s="69"/>
      <c r="AA173" s="69"/>
      <c r="AB173" s="70"/>
      <c r="AC173" s="69"/>
      <c r="AD173" s="69"/>
      <c r="AE173" s="71"/>
      <c r="AF173" s="69"/>
    </row>
    <row r="174" s="3" customFormat="1" ht="15" customHeight="1" spans="1:46">
      <c r="A174" s="60">
        <v>149</v>
      </c>
      <c r="B174" s="61" t="s">
        <v>198</v>
      </c>
      <c r="C174" s="61" t="s">
        <v>397</v>
      </c>
      <c r="D174" s="61" t="s">
        <v>52</v>
      </c>
      <c r="E174" s="62">
        <v>30282</v>
      </c>
      <c r="F174" s="61">
        <v>48374</v>
      </c>
      <c r="G174" s="61" t="s">
        <v>53</v>
      </c>
      <c r="H174" s="63" t="s">
        <v>54</v>
      </c>
      <c r="I174" s="64" t="s">
        <v>119</v>
      </c>
      <c r="J174" s="63" t="s">
        <v>56</v>
      </c>
      <c r="K174" s="65"/>
      <c r="L174" s="66"/>
      <c r="M174" s="67"/>
      <c r="N174" s="67"/>
      <c r="O174" s="67"/>
      <c r="P174" s="68"/>
      <c r="Q174" s="67"/>
      <c r="R174" s="67"/>
      <c r="S174" s="69" t="s">
        <v>61</v>
      </c>
      <c r="T174" s="69">
        <v>148000</v>
      </c>
      <c r="U174" s="69"/>
      <c r="V174" s="69" t="s">
        <v>62</v>
      </c>
      <c r="W174" s="69">
        <v>4103.65</v>
      </c>
      <c r="X174" s="69"/>
      <c r="Y174" s="69" t="s">
        <v>63</v>
      </c>
      <c r="Z174" s="69">
        <v>852</v>
      </c>
      <c r="AA174" s="69"/>
      <c r="AB174" s="70"/>
      <c r="AC174" s="69" t="s">
        <v>106</v>
      </c>
      <c r="AD174" s="69"/>
      <c r="AE174" s="71">
        <v>76078</v>
      </c>
      <c r="AF174" s="69"/>
      <c r="AG174" s="3" t="str">
        <f>B174&amp;C174</f>
        <v>AnnaGeorge</v>
      </c>
      <c r="AH174" s="3" t="e">
        <f>VLOOKUP($AG174,[1]Sheet8!$B:$G,1,0)</f>
        <v>#N/A</v>
      </c>
      <c r="AI174" s="3" t="e">
        <f>VLOOKUP($AG174,[1]Sheet8!$B:$G,4,0)</f>
        <v>#N/A</v>
      </c>
      <c r="AJ174" s="3" t="e">
        <f>VLOOKUP($AG174,[1]Sheet8!$B:$G,5,0)</f>
        <v>#N/A</v>
      </c>
      <c r="AK174" s="3" t="e">
        <f>VLOOKUP($AG174,[1]Sheet8!$B:$G,6,0)</f>
        <v>#N/A</v>
      </c>
    </row>
    <row r="175" s="3" customFormat="1" ht="15" customHeight="1" spans="1:46">
      <c r="A175" s="60">
        <v>150</v>
      </c>
      <c r="B175" s="61" t="s">
        <v>398</v>
      </c>
      <c r="C175" s="61" t="s">
        <v>399</v>
      </c>
      <c r="D175" s="61" t="s">
        <v>67</v>
      </c>
      <c r="E175" s="62">
        <v>27609</v>
      </c>
      <c r="F175" s="61">
        <v>97078</v>
      </c>
      <c r="G175" s="61" t="s">
        <v>53</v>
      </c>
      <c r="H175" s="63" t="s">
        <v>54</v>
      </c>
      <c r="I175" s="64" t="s">
        <v>53</v>
      </c>
      <c r="J175" s="63" t="s">
        <v>56</v>
      </c>
      <c r="K175" s="65" t="s">
        <v>57</v>
      </c>
      <c r="L175" s="66">
        <v>1235.83</v>
      </c>
      <c r="M175" s="67" t="s">
        <v>53</v>
      </c>
      <c r="N175" s="67" t="s">
        <v>59</v>
      </c>
      <c r="O175" s="67">
        <v>42.39</v>
      </c>
      <c r="P175" s="68" t="s">
        <v>53</v>
      </c>
      <c r="Q175" s="67" t="s">
        <v>60</v>
      </c>
      <c r="R175" s="67">
        <v>8.22</v>
      </c>
      <c r="S175" s="69" t="s">
        <v>61</v>
      </c>
      <c r="T175" s="69">
        <v>250000</v>
      </c>
      <c r="U175" s="69"/>
      <c r="V175" s="69" t="s">
        <v>62</v>
      </c>
      <c r="W175" s="69">
        <v>7968.07</v>
      </c>
      <c r="X175" s="69"/>
      <c r="Y175" s="69" t="s">
        <v>63</v>
      </c>
      <c r="Z175" s="69">
        <v>1655</v>
      </c>
      <c r="AA175" s="69"/>
      <c r="AB175" s="70"/>
      <c r="AC175" s="69" t="s">
        <v>400</v>
      </c>
      <c r="AD175" s="69"/>
      <c r="AE175" s="71">
        <v>147721</v>
      </c>
      <c r="AF175" s="69"/>
      <c r="AG175" s="3" t="str">
        <f>B175&amp;C175</f>
        <v>CharlieGerringer</v>
      </c>
      <c r="AH175" s="3" t="str">
        <f>VLOOKUP($AG175,[1]Sheet8!$B:$G,1,0)</f>
        <v>CHARLIEGERRINGER</v>
      </c>
      <c r="AI175" s="3" t="str">
        <f>VLOOKUP($AG175,[1]Sheet8!$B:$G,4,0)</f>
        <v>EE</v>
      </c>
      <c r="AJ175" s="3" t="str">
        <f>VLOOKUP($AG175,[1]Sheet8!$B:$G,5,0)</f>
        <v>L093530003</v>
      </c>
      <c r="AK175" s="3">
        <f>VLOOKUP($AG175,[1]Sheet8!$B:$G,6,0)</f>
        <v>8.22</v>
      </c>
      <c r="AL175" s="3" t="s">
        <v>53</v>
      </c>
      <c r="AM175" s="3" t="s">
        <v>57</v>
      </c>
      <c r="AN175" s="3">
        <v>1235.83</v>
      </c>
      <c r="AO175" s="3" t="s">
        <v>53</v>
      </c>
      <c r="AP175" s="3" t="s">
        <v>59</v>
      </c>
      <c r="AQ175" s="3">
        <v>42.39</v>
      </c>
      <c r="AR175" s="3" t="s">
        <v>53</v>
      </c>
      <c r="AS175" s="3" t="s">
        <v>60</v>
      </c>
      <c r="AT175" s="3">
        <v>8.22</v>
      </c>
    </row>
    <row r="176" s="3" customFormat="1" ht="15" customHeight="1" spans="1:46">
      <c r="A176" s="60">
        <v>151</v>
      </c>
      <c r="B176" s="61" t="s">
        <v>401</v>
      </c>
      <c r="C176" s="61" t="s">
        <v>402</v>
      </c>
      <c r="D176" s="61" t="s">
        <v>52</v>
      </c>
      <c r="E176" s="62">
        <v>30336</v>
      </c>
      <c r="F176" s="61">
        <v>30066</v>
      </c>
      <c r="G176" s="61" t="s">
        <v>53</v>
      </c>
      <c r="H176" s="63" t="s">
        <v>54</v>
      </c>
      <c r="I176" s="64" t="s">
        <v>53</v>
      </c>
      <c r="J176" s="63" t="s">
        <v>56</v>
      </c>
      <c r="K176" s="65" t="s">
        <v>82</v>
      </c>
      <c r="L176" s="66">
        <v>781.79</v>
      </c>
      <c r="M176" s="67" t="s">
        <v>53</v>
      </c>
      <c r="N176" s="67" t="s">
        <v>59</v>
      </c>
      <c r="O176" s="67">
        <v>42.39</v>
      </c>
      <c r="P176" s="68" t="s">
        <v>53</v>
      </c>
      <c r="Q176" s="67" t="s">
        <v>60</v>
      </c>
      <c r="R176" s="67">
        <v>8.22</v>
      </c>
      <c r="S176" s="69" t="s">
        <v>61</v>
      </c>
      <c r="T176" s="69">
        <v>119000</v>
      </c>
      <c r="U176" s="69"/>
      <c r="V176" s="69" t="s">
        <v>62</v>
      </c>
      <c r="W176" s="69">
        <v>3300.72</v>
      </c>
      <c r="X176" s="69"/>
      <c r="Y176" s="69" t="s">
        <v>63</v>
      </c>
      <c r="Z176" s="69">
        <v>686</v>
      </c>
      <c r="AA176" s="69"/>
      <c r="AB176" s="70"/>
      <c r="AC176" s="69" t="s">
        <v>403</v>
      </c>
      <c r="AD176" s="69"/>
      <c r="AE176" s="71">
        <v>81590</v>
      </c>
      <c r="AF176" s="69"/>
      <c r="AG176" s="3" t="str">
        <f>B176&amp;C176</f>
        <v>NatalieGilb</v>
      </c>
      <c r="AH176" s="3" t="str">
        <f>VLOOKUP($AG176,[1]Sheet8!$B:$G,1,0)</f>
        <v>NATALIEGILB</v>
      </c>
      <c r="AI176" s="3" t="str">
        <f>VLOOKUP($AG176,[1]Sheet8!$B:$G,4,0)</f>
        <v>EE</v>
      </c>
      <c r="AJ176" s="3" t="str">
        <f>VLOOKUP($AG176,[1]Sheet8!$B:$G,5,0)</f>
        <v>L093530003</v>
      </c>
      <c r="AK176" s="3">
        <f>VLOOKUP($AG176,[1]Sheet8!$B:$G,6,0)</f>
        <v>8.22</v>
      </c>
      <c r="AL176" s="3" t="s">
        <v>53</v>
      </c>
      <c r="AM176" s="3" t="s">
        <v>82</v>
      </c>
      <c r="AN176" s="3">
        <v>781.79</v>
      </c>
      <c r="AO176" s="3" t="s">
        <v>53</v>
      </c>
      <c r="AP176" s="3" t="s">
        <v>59</v>
      </c>
      <c r="AQ176" s="3">
        <v>42.39</v>
      </c>
      <c r="AR176" s="3" t="s">
        <v>53</v>
      </c>
      <c r="AS176" s="3" t="s">
        <v>60</v>
      </c>
      <c r="AT176" s="3">
        <v>8.22</v>
      </c>
    </row>
    <row r="177" s="3" customFormat="1" ht="15" customHeight="1" spans="1:46">
      <c r="A177" s="60">
        <v>152</v>
      </c>
      <c r="B177" s="61" t="s">
        <v>404</v>
      </c>
      <c r="C177" s="61" t="s">
        <v>405</v>
      </c>
      <c r="D177" s="61" t="s">
        <v>52</v>
      </c>
      <c r="E177" s="62">
        <v>33319</v>
      </c>
      <c r="F177" s="61">
        <v>34219</v>
      </c>
      <c r="G177" s="61" t="s">
        <v>53</v>
      </c>
      <c r="H177" s="63" t="s">
        <v>54</v>
      </c>
      <c r="I177" s="64" t="s">
        <v>55</v>
      </c>
      <c r="J177" s="63" t="s">
        <v>56</v>
      </c>
      <c r="K177" s="65" t="s">
        <v>57</v>
      </c>
      <c r="L177" s="66">
        <v>2224.48</v>
      </c>
      <c r="M177" s="67" t="s">
        <v>81</v>
      </c>
      <c r="N177" s="67" t="s">
        <v>59</v>
      </c>
      <c r="O177" s="67">
        <v>84.72</v>
      </c>
      <c r="P177" s="68" t="s">
        <v>53</v>
      </c>
      <c r="Q177" s="67" t="s">
        <v>60</v>
      </c>
      <c r="R177" s="67">
        <v>8.22</v>
      </c>
      <c r="S177" s="69" t="s">
        <v>61</v>
      </c>
      <c r="T177" s="69">
        <v>165000</v>
      </c>
      <c r="U177" s="69"/>
      <c r="V177" s="69" t="s">
        <v>62</v>
      </c>
      <c r="W177" s="69">
        <v>4573.67</v>
      </c>
      <c r="X177" s="69"/>
      <c r="Y177" s="69" t="s">
        <v>63</v>
      </c>
      <c r="Z177" s="69">
        <v>950</v>
      </c>
      <c r="AA177" s="69"/>
      <c r="AB177" s="70"/>
      <c r="AC177" s="69" t="s">
        <v>406</v>
      </c>
      <c r="AD177" s="69"/>
      <c r="AE177" s="71">
        <v>83968</v>
      </c>
      <c r="AF177" s="69"/>
      <c r="AG177" s="3" t="str">
        <f>B177&amp;C177</f>
        <v>AllisonGray</v>
      </c>
      <c r="AH177" s="3" t="str">
        <f>VLOOKUP($AG177,[1]Sheet8!$B:$G,1,0)</f>
        <v>ALLISONGRAY</v>
      </c>
      <c r="AI177" s="3" t="str">
        <f>VLOOKUP($AG177,[1]Sheet8!$B:$G,4,0)</f>
        <v>EE</v>
      </c>
      <c r="AJ177" s="3" t="str">
        <f>VLOOKUP($AG177,[1]Sheet8!$B:$G,5,0)</f>
        <v>L093530003</v>
      </c>
      <c r="AK177" s="3">
        <f>VLOOKUP($AG177,[1]Sheet8!$B:$G,6,0)</f>
        <v>8.22</v>
      </c>
      <c r="AL177" s="3" t="s">
        <v>55</v>
      </c>
      <c r="AM177" s="3" t="s">
        <v>57</v>
      </c>
      <c r="AN177" s="3">
        <v>2224.48</v>
      </c>
      <c r="AO177" s="3" t="s">
        <v>81</v>
      </c>
      <c r="AP177" s="3" t="s">
        <v>59</v>
      </c>
      <c r="AQ177" s="3">
        <v>84.72</v>
      </c>
      <c r="AR177" s="3" t="s">
        <v>53</v>
      </c>
      <c r="AS177" s="3" t="s">
        <v>60</v>
      </c>
      <c r="AT177" s="3">
        <v>8.22</v>
      </c>
    </row>
    <row r="178" s="3" customFormat="1" ht="15" customHeight="1" spans="1:46">
      <c r="A178" s="60">
        <v>153</v>
      </c>
      <c r="B178" s="61" t="s">
        <v>407</v>
      </c>
      <c r="C178" s="61" t="s">
        <v>405</v>
      </c>
      <c r="D178" s="61" t="s">
        <v>67</v>
      </c>
      <c r="E178" s="62">
        <v>44770</v>
      </c>
      <c r="F178" s="61">
        <v>34219</v>
      </c>
      <c r="G178" s="61" t="s">
        <v>68</v>
      </c>
      <c r="H178" s="63">
        <v>152</v>
      </c>
      <c r="I178" s="64" t="s">
        <v>55</v>
      </c>
      <c r="J178" s="63" t="s">
        <v>56</v>
      </c>
      <c r="K178" s="65"/>
      <c r="L178" s="66"/>
      <c r="M178" s="67"/>
      <c r="N178" s="67"/>
      <c r="O178" s="67"/>
      <c r="P178" s="68"/>
      <c r="Q178" s="67"/>
      <c r="R178" s="67"/>
      <c r="S178" s="69"/>
      <c r="T178" s="69"/>
      <c r="U178" s="69"/>
      <c r="V178" s="69"/>
      <c r="W178" s="69"/>
      <c r="X178" s="69"/>
      <c r="Y178" s="69"/>
      <c r="Z178" s="69"/>
      <c r="AA178" s="69"/>
      <c r="AB178" s="70"/>
      <c r="AC178" s="69"/>
      <c r="AD178" s="69"/>
      <c r="AE178" s="71"/>
      <c r="AF178" s="69"/>
    </row>
    <row r="179" s="3" customFormat="1" ht="15" customHeight="1" spans="1:46">
      <c r="A179" s="60">
        <v>154</v>
      </c>
      <c r="B179" s="61" t="s">
        <v>126</v>
      </c>
      <c r="C179" s="61" t="s">
        <v>408</v>
      </c>
      <c r="D179" s="61" t="s">
        <v>67</v>
      </c>
      <c r="E179" s="62">
        <v>34541</v>
      </c>
      <c r="F179" s="61">
        <v>83835</v>
      </c>
      <c r="G179" s="61" t="s">
        <v>53</v>
      </c>
      <c r="H179" s="63" t="s">
        <v>54</v>
      </c>
      <c r="I179" s="64" t="s">
        <v>53</v>
      </c>
      <c r="J179" s="63" t="s">
        <v>56</v>
      </c>
      <c r="K179" s="65" t="s">
        <v>82</v>
      </c>
      <c r="L179" s="66">
        <v>781.79</v>
      </c>
      <c r="M179" s="67" t="s">
        <v>53</v>
      </c>
      <c r="N179" s="67" t="s">
        <v>59</v>
      </c>
      <c r="O179" s="67">
        <v>42.39</v>
      </c>
      <c r="P179" s="68" t="s">
        <v>53</v>
      </c>
      <c r="Q179" s="67" t="s">
        <v>60</v>
      </c>
      <c r="R179" s="67">
        <v>8.22</v>
      </c>
      <c r="S179" s="69" t="s">
        <v>61</v>
      </c>
      <c r="T179" s="69">
        <v>213000</v>
      </c>
      <c r="U179" s="69"/>
      <c r="V179" s="69" t="s">
        <v>62</v>
      </c>
      <c r="W179" s="69">
        <v>5905.46</v>
      </c>
      <c r="X179" s="69"/>
      <c r="Y179" s="69" t="s">
        <v>63</v>
      </c>
      <c r="Z179" s="69">
        <v>1226</v>
      </c>
      <c r="AA179" s="69"/>
      <c r="AB179" s="70"/>
      <c r="AC179" s="69" t="s">
        <v>387</v>
      </c>
      <c r="AD179" s="69"/>
      <c r="AE179" s="71">
        <v>109481</v>
      </c>
      <c r="AF179" s="69"/>
      <c r="AG179" s="3" t="str">
        <f t="shared" ref="AG179:AG184" si="6">B179&amp;C179</f>
        <v>MichaelGreen</v>
      </c>
      <c r="AH179" s="3" t="str">
        <f>VLOOKUP($AG179,[1]Sheet8!$B:$G,1,0)</f>
        <v>MICHAELGREEN</v>
      </c>
      <c r="AI179" s="3" t="str">
        <f>VLOOKUP($AG179,[1]Sheet8!$B:$G,4,0)</f>
        <v>EE</v>
      </c>
      <c r="AJ179" s="3" t="str">
        <f>VLOOKUP($AG179,[1]Sheet8!$B:$G,5,0)</f>
        <v>L093530003</v>
      </c>
      <c r="AK179" s="3">
        <f>VLOOKUP($AG179,[1]Sheet8!$B:$G,6,0)</f>
        <v>8.22</v>
      </c>
      <c r="AL179" s="3" t="s">
        <v>53</v>
      </c>
      <c r="AM179" s="3" t="s">
        <v>82</v>
      </c>
      <c r="AN179" s="3">
        <v>781.79</v>
      </c>
      <c r="AO179" s="3" t="s">
        <v>53</v>
      </c>
      <c r="AP179" s="3" t="s">
        <v>59</v>
      </c>
      <c r="AQ179" s="3">
        <v>42.39</v>
      </c>
      <c r="AR179" s="3" t="s">
        <v>53</v>
      </c>
      <c r="AS179" s="3" t="s">
        <v>60</v>
      </c>
      <c r="AT179" s="3">
        <v>8.22</v>
      </c>
    </row>
    <row r="180" s="3" customFormat="1" ht="15" customHeight="1" spans="1:46">
      <c r="A180" s="60">
        <v>155</v>
      </c>
      <c r="B180" s="61" t="s">
        <v>136</v>
      </c>
      <c r="C180" s="61" t="s">
        <v>409</v>
      </c>
      <c r="D180" s="61" t="s">
        <v>52</v>
      </c>
      <c r="E180" s="62">
        <v>36146</v>
      </c>
      <c r="F180" s="61">
        <v>19606</v>
      </c>
      <c r="G180" s="61" t="s">
        <v>53</v>
      </c>
      <c r="H180" s="63" t="s">
        <v>54</v>
      </c>
      <c r="I180" s="64" t="s">
        <v>53</v>
      </c>
      <c r="J180" s="63" t="s">
        <v>56</v>
      </c>
      <c r="K180" s="65" t="s">
        <v>82</v>
      </c>
      <c r="L180" s="66">
        <v>781.79</v>
      </c>
      <c r="M180" s="67" t="s">
        <v>53</v>
      </c>
      <c r="N180" s="67" t="s">
        <v>59</v>
      </c>
      <c r="O180" s="67">
        <v>42.39</v>
      </c>
      <c r="P180" s="68" t="s">
        <v>53</v>
      </c>
      <c r="Q180" s="67" t="s">
        <v>60</v>
      </c>
      <c r="R180" s="67">
        <v>8.22</v>
      </c>
      <c r="S180" s="69" t="s">
        <v>61</v>
      </c>
      <c r="T180" s="69">
        <v>169000</v>
      </c>
      <c r="U180" s="69"/>
      <c r="V180" s="69" t="s">
        <v>62</v>
      </c>
      <c r="W180" s="69">
        <v>4669.12</v>
      </c>
      <c r="X180" s="69"/>
      <c r="Y180" s="69" t="s">
        <v>63</v>
      </c>
      <c r="Z180" s="69">
        <v>970</v>
      </c>
      <c r="AA180" s="69"/>
      <c r="AB180" s="70"/>
      <c r="AC180" s="69" t="s">
        <v>144</v>
      </c>
      <c r="AD180" s="69"/>
      <c r="AE180" s="71">
        <v>86562</v>
      </c>
      <c r="AF180" s="69"/>
      <c r="AG180" s="3" t="str">
        <f t="shared" si="6"/>
        <v>NicoleGreenfield</v>
      </c>
      <c r="AH180" s="3" t="str">
        <f>VLOOKUP($AG180,[1]Sheet8!$B:$G,1,0)</f>
        <v>NICOLEGREENFIELD</v>
      </c>
      <c r="AI180" s="3" t="str">
        <f>VLOOKUP($AG180,[1]Sheet8!$B:$G,4,0)</f>
        <v>EE</v>
      </c>
      <c r="AJ180" s="3" t="str">
        <f>VLOOKUP($AG180,[1]Sheet8!$B:$G,5,0)</f>
        <v>L093530003</v>
      </c>
      <c r="AK180" s="3">
        <f>VLOOKUP($AG180,[1]Sheet8!$B:$G,6,0)</f>
        <v>8.22</v>
      </c>
      <c r="AL180" s="3" t="s">
        <v>53</v>
      </c>
      <c r="AM180" s="3" t="s">
        <v>82</v>
      </c>
      <c r="AN180" s="3">
        <v>781.79</v>
      </c>
      <c r="AO180" s="3" t="s">
        <v>53</v>
      </c>
      <c r="AP180" s="3" t="s">
        <v>59</v>
      </c>
      <c r="AQ180" s="3">
        <v>42.39</v>
      </c>
      <c r="AR180" s="3" t="s">
        <v>53</v>
      </c>
      <c r="AS180" s="3" t="s">
        <v>60</v>
      </c>
      <c r="AT180" s="3">
        <v>8.22</v>
      </c>
    </row>
    <row r="181" s="3" customFormat="1" ht="15" customHeight="1" spans="1:46">
      <c r="A181" s="60">
        <v>156</v>
      </c>
      <c r="B181" s="61" t="s">
        <v>181</v>
      </c>
      <c r="C181" s="61" t="s">
        <v>410</v>
      </c>
      <c r="D181" s="61" t="s">
        <v>67</v>
      </c>
      <c r="E181" s="62">
        <v>32424</v>
      </c>
      <c r="F181" s="61">
        <v>11211</v>
      </c>
      <c r="G181" s="61" t="s">
        <v>53</v>
      </c>
      <c r="H181" s="63" t="s">
        <v>54</v>
      </c>
      <c r="I181" s="64" t="s">
        <v>53</v>
      </c>
      <c r="J181" s="63" t="s">
        <v>56</v>
      </c>
      <c r="K181" s="65" t="s">
        <v>57</v>
      </c>
      <c r="L181" s="66">
        <v>1235.83</v>
      </c>
      <c r="M181" s="67" t="s">
        <v>53</v>
      </c>
      <c r="N181" s="67" t="s">
        <v>59</v>
      </c>
      <c r="O181" s="67">
        <v>42.39</v>
      </c>
      <c r="P181" s="68" t="s">
        <v>53</v>
      </c>
      <c r="Q181" s="67" t="s">
        <v>60</v>
      </c>
      <c r="R181" s="67">
        <v>8.22</v>
      </c>
      <c r="S181" s="69" t="s">
        <v>61</v>
      </c>
      <c r="T181" s="69">
        <v>250000</v>
      </c>
      <c r="U181" s="69"/>
      <c r="V181" s="69" t="s">
        <v>62</v>
      </c>
      <c r="W181" s="69">
        <v>9946.89</v>
      </c>
      <c r="X181" s="69"/>
      <c r="Y181" s="69" t="s">
        <v>63</v>
      </c>
      <c r="Z181" s="69">
        <v>2000</v>
      </c>
      <c r="AA181" s="69"/>
      <c r="AB181" s="70"/>
      <c r="AC181" s="69" t="s">
        <v>411</v>
      </c>
      <c r="AD181" s="69"/>
      <c r="AE181" s="71">
        <v>197834</v>
      </c>
      <c r="AF181" s="69"/>
      <c r="AG181" s="3" t="str">
        <f t="shared" si="6"/>
        <v>RyanGross</v>
      </c>
      <c r="AH181" s="3" t="str">
        <f>VLOOKUP($AG181,[1]Sheet8!$B:$G,1,0)</f>
        <v>RYANGROSS</v>
      </c>
      <c r="AI181" s="3" t="str">
        <f>VLOOKUP($AG181,[1]Sheet8!$B:$G,4,0)</f>
        <v>EE</v>
      </c>
      <c r="AJ181" s="3" t="str">
        <f>VLOOKUP($AG181,[1]Sheet8!$B:$G,5,0)</f>
        <v>L093530003</v>
      </c>
      <c r="AK181" s="3">
        <f>VLOOKUP($AG181,[1]Sheet8!$B:$G,6,0)</f>
        <v>8.22</v>
      </c>
      <c r="AL181" s="3" t="s">
        <v>53</v>
      </c>
      <c r="AM181" s="3" t="s">
        <v>57</v>
      </c>
      <c r="AN181" s="3">
        <v>1235.83</v>
      </c>
      <c r="AO181" s="3" t="s">
        <v>53</v>
      </c>
      <c r="AP181" s="3" t="s">
        <v>59</v>
      </c>
      <c r="AQ181" s="3">
        <v>42.39</v>
      </c>
      <c r="AR181" s="3" t="s">
        <v>53</v>
      </c>
      <c r="AS181" s="3" t="s">
        <v>60</v>
      </c>
      <c r="AT181" s="3">
        <v>8.22</v>
      </c>
    </row>
    <row r="182" s="3" customFormat="1" ht="15" customHeight="1" spans="1:46">
      <c r="A182" s="60">
        <v>157</v>
      </c>
      <c r="B182" s="61" t="s">
        <v>412</v>
      </c>
      <c r="C182" s="61" t="s">
        <v>413</v>
      </c>
      <c r="D182" s="61" t="s">
        <v>52</v>
      </c>
      <c r="E182" s="62">
        <v>35852</v>
      </c>
      <c r="F182" s="61">
        <v>94521</v>
      </c>
      <c r="G182" s="61" t="s">
        <v>53</v>
      </c>
      <c r="H182" s="63" t="s">
        <v>54</v>
      </c>
      <c r="I182" s="64" t="s">
        <v>53</v>
      </c>
      <c r="J182" s="63" t="s">
        <v>56</v>
      </c>
      <c r="K182" s="65" t="s">
        <v>82</v>
      </c>
      <c r="L182" s="66">
        <v>781.79</v>
      </c>
      <c r="M182" s="67" t="s">
        <v>53</v>
      </c>
      <c r="N182" s="67" t="s">
        <v>59</v>
      </c>
      <c r="O182" s="67">
        <v>42.39</v>
      </c>
      <c r="P182" s="68" t="s">
        <v>53</v>
      </c>
      <c r="Q182" s="67" t="s">
        <v>60</v>
      </c>
      <c r="R182" s="67">
        <v>8.22</v>
      </c>
      <c r="S182" s="69" t="s">
        <v>61</v>
      </c>
      <c r="T182" s="69">
        <v>210000</v>
      </c>
      <c r="U182" s="69"/>
      <c r="V182" s="69" t="s">
        <v>62</v>
      </c>
      <c r="W182" s="69">
        <v>5814.4</v>
      </c>
      <c r="X182" s="69"/>
      <c r="Y182" s="69" t="s">
        <v>63</v>
      </c>
      <c r="Z182" s="69">
        <v>1208</v>
      </c>
      <c r="AA182" s="69"/>
      <c r="AB182" s="70"/>
      <c r="AC182" s="69" t="s">
        <v>64</v>
      </c>
      <c r="AD182" s="69"/>
      <c r="AE182" s="71">
        <v>108840</v>
      </c>
      <c r="AF182" s="69"/>
      <c r="AG182" s="3" t="str">
        <f t="shared" si="6"/>
        <v>GiselleGuerra</v>
      </c>
      <c r="AH182" s="3" t="str">
        <f>VLOOKUP($AG182,[1]Sheet8!$B:$G,1,0)</f>
        <v>GISELLEGUERRA</v>
      </c>
      <c r="AI182" s="3" t="str">
        <f>VLOOKUP($AG182,[1]Sheet8!$B:$G,4,0)</f>
        <v>EE</v>
      </c>
      <c r="AJ182" s="3" t="str">
        <f>VLOOKUP($AG182,[1]Sheet8!$B:$G,5,0)</f>
        <v>L093530003</v>
      </c>
      <c r="AK182" s="3">
        <f>VLOOKUP($AG182,[1]Sheet8!$B:$G,6,0)</f>
        <v>8.22</v>
      </c>
      <c r="AL182" s="3" t="s">
        <v>53</v>
      </c>
      <c r="AM182" s="3" t="s">
        <v>82</v>
      </c>
      <c r="AN182" s="3">
        <v>781.79</v>
      </c>
      <c r="AO182" s="3" t="s">
        <v>53</v>
      </c>
      <c r="AP182" s="3" t="s">
        <v>59</v>
      </c>
      <c r="AQ182" s="3">
        <v>42.39</v>
      </c>
      <c r="AR182" s="3" t="s">
        <v>53</v>
      </c>
      <c r="AS182" s="3" t="s">
        <v>60</v>
      </c>
      <c r="AT182" s="3">
        <v>8.22</v>
      </c>
    </row>
    <row r="183" s="3" customFormat="1" ht="15" customHeight="1" spans="1:46">
      <c r="A183" s="60">
        <v>158</v>
      </c>
      <c r="B183" s="61" t="s">
        <v>414</v>
      </c>
      <c r="C183" s="61" t="s">
        <v>415</v>
      </c>
      <c r="D183" s="61" t="s">
        <v>67</v>
      </c>
      <c r="E183" s="62">
        <v>36559</v>
      </c>
      <c r="F183" s="61">
        <v>40222</v>
      </c>
      <c r="G183" s="61" t="s">
        <v>53</v>
      </c>
      <c r="H183" s="63" t="s">
        <v>54</v>
      </c>
      <c r="I183" s="64" t="s">
        <v>53</v>
      </c>
      <c r="J183" s="63" t="s">
        <v>56</v>
      </c>
      <c r="K183" s="65" t="s">
        <v>82</v>
      </c>
      <c r="L183" s="66">
        <v>781.79</v>
      </c>
      <c r="M183" s="67" t="s">
        <v>53</v>
      </c>
      <c r="N183" s="67" t="s">
        <v>59</v>
      </c>
      <c r="O183" s="67">
        <v>42.39</v>
      </c>
      <c r="P183" s="68" t="s">
        <v>53</v>
      </c>
      <c r="Q183" s="67" t="s">
        <v>60</v>
      </c>
      <c r="R183" s="67">
        <v>8.22</v>
      </c>
      <c r="S183" s="69" t="s">
        <v>61</v>
      </c>
      <c r="T183" s="69">
        <v>156000</v>
      </c>
      <c r="U183" s="69"/>
      <c r="V183" s="69" t="s">
        <v>62</v>
      </c>
      <c r="W183" s="69">
        <v>4333.55</v>
      </c>
      <c r="X183" s="69"/>
      <c r="Y183" s="69" t="s">
        <v>63</v>
      </c>
      <c r="Z183" s="69">
        <v>900</v>
      </c>
      <c r="AA183" s="69"/>
      <c r="AB183" s="70"/>
      <c r="AC183" s="69" t="s">
        <v>416</v>
      </c>
      <c r="AD183" s="69"/>
      <c r="AE183" s="71">
        <v>79170</v>
      </c>
      <c r="AF183" s="69"/>
      <c r="AG183" s="3" t="str">
        <f t="shared" si="6"/>
        <v>Muhammed AhmedHamid</v>
      </c>
      <c r="AH183" s="3" t="str">
        <f>VLOOKUP($AG183,[1]Sheet8!$B:$G,1,0)</f>
        <v>MUHAMMED AhmedHAMID</v>
      </c>
      <c r="AI183" s="3" t="str">
        <f>VLOOKUP($AG183,[1]Sheet8!$B:$G,4,0)</f>
        <v>EE</v>
      </c>
      <c r="AJ183" s="3" t="str">
        <f>VLOOKUP($AG183,[1]Sheet8!$B:$G,5,0)</f>
        <v>L093530003</v>
      </c>
      <c r="AK183" s="3">
        <f>VLOOKUP($AG183,[1]Sheet8!$B:$G,6,0)</f>
        <v>8.22</v>
      </c>
      <c r="AL183" s="3" t="s">
        <v>53</v>
      </c>
      <c r="AM183" s="3" t="s">
        <v>82</v>
      </c>
      <c r="AN183" s="3">
        <v>781.79</v>
      </c>
      <c r="AO183" s="3" t="s">
        <v>53</v>
      </c>
      <c r="AP183" s="3" t="s">
        <v>59</v>
      </c>
      <c r="AQ183" s="3">
        <v>42.39</v>
      </c>
      <c r="AR183" s="3" t="s">
        <v>53</v>
      </c>
      <c r="AS183" s="3" t="s">
        <v>60</v>
      </c>
      <c r="AT183" s="3">
        <v>8.22</v>
      </c>
    </row>
    <row r="184" s="3" customFormat="1" ht="15" customHeight="1" spans="1:46">
      <c r="A184" s="60">
        <v>159</v>
      </c>
      <c r="B184" s="61" t="s">
        <v>215</v>
      </c>
      <c r="C184" s="61" t="s">
        <v>417</v>
      </c>
      <c r="D184" s="61" t="s">
        <v>67</v>
      </c>
      <c r="E184" s="62">
        <v>24489</v>
      </c>
      <c r="F184" s="61">
        <v>27603</v>
      </c>
      <c r="G184" s="61" t="s">
        <v>53</v>
      </c>
      <c r="H184" s="63" t="s">
        <v>54</v>
      </c>
      <c r="I184" s="64" t="s">
        <v>58</v>
      </c>
      <c r="J184" s="63" t="s">
        <v>56</v>
      </c>
      <c r="K184" s="65" t="s">
        <v>82</v>
      </c>
      <c r="L184" s="66">
        <v>2423.56</v>
      </c>
      <c r="M184" s="67" t="s">
        <v>58</v>
      </c>
      <c r="N184" s="67" t="s">
        <v>59</v>
      </c>
      <c r="O184" s="67">
        <v>147.1</v>
      </c>
      <c r="P184" s="68" t="s">
        <v>58</v>
      </c>
      <c r="Q184" s="67" t="s">
        <v>60</v>
      </c>
      <c r="R184" s="67">
        <v>23</v>
      </c>
      <c r="S184" s="69" t="s">
        <v>61</v>
      </c>
      <c r="T184" s="69">
        <v>250000</v>
      </c>
      <c r="U184" s="69"/>
      <c r="V184" s="69" t="s">
        <v>62</v>
      </c>
      <c r="W184" s="69">
        <v>9967.22</v>
      </c>
      <c r="X184" s="69"/>
      <c r="Y184" s="69" t="s">
        <v>63</v>
      </c>
      <c r="Z184" s="69">
        <v>2000</v>
      </c>
      <c r="AA184" s="69"/>
      <c r="AB184" s="70"/>
      <c r="AC184" s="69" t="s">
        <v>418</v>
      </c>
      <c r="AD184" s="69"/>
      <c r="AE184" s="71">
        <v>184783</v>
      </c>
      <c r="AF184" s="69"/>
      <c r="AG184" s="3" t="str">
        <f t="shared" si="6"/>
        <v>DavidHandy</v>
      </c>
      <c r="AH184" s="3" t="str">
        <f>VLOOKUP($AG184,[1]Sheet8!$B:$G,1,0)</f>
        <v>DAVIDHANDY</v>
      </c>
      <c r="AI184" s="3" t="str">
        <f>VLOOKUP($AG184,[1]Sheet8!$B:$G,4,0)</f>
        <v>FAM</v>
      </c>
      <c r="AJ184" s="3" t="str">
        <f>VLOOKUP($AG184,[1]Sheet8!$B:$G,5,0)</f>
        <v>L093530003</v>
      </c>
      <c r="AK184" s="3">
        <f>VLOOKUP($AG184,[1]Sheet8!$B:$G,6,0)</f>
        <v>23</v>
      </c>
      <c r="AL184" s="3" t="s">
        <v>58</v>
      </c>
      <c r="AM184" s="3" t="s">
        <v>82</v>
      </c>
      <c r="AN184" s="3">
        <v>2423.56</v>
      </c>
      <c r="AO184" s="3" t="s">
        <v>58</v>
      </c>
      <c r="AP184" s="3" t="s">
        <v>59</v>
      </c>
      <c r="AQ184" s="3">
        <v>147.1</v>
      </c>
      <c r="AR184" s="3" t="s">
        <v>58</v>
      </c>
      <c r="AS184" s="3" t="s">
        <v>60</v>
      </c>
      <c r="AT184" s="3">
        <v>23</v>
      </c>
    </row>
    <row r="185" s="3" customFormat="1" ht="15" customHeight="1" spans="1:46">
      <c r="A185" s="60">
        <v>160</v>
      </c>
      <c r="B185" s="61" t="s">
        <v>419</v>
      </c>
      <c r="C185" s="61" t="s">
        <v>417</v>
      </c>
      <c r="D185" s="61" t="s">
        <v>52</v>
      </c>
      <c r="E185" s="62">
        <v>37476</v>
      </c>
      <c r="F185" s="61">
        <v>27603</v>
      </c>
      <c r="G185" s="61" t="s">
        <v>68</v>
      </c>
      <c r="H185" s="63">
        <v>159</v>
      </c>
      <c r="I185" s="64" t="s">
        <v>58</v>
      </c>
      <c r="J185" s="63" t="s">
        <v>56</v>
      </c>
      <c r="K185" s="65"/>
      <c r="L185" s="66"/>
      <c r="M185" s="67"/>
      <c r="N185" s="67"/>
      <c r="O185" s="67"/>
      <c r="P185" s="68"/>
      <c r="Q185" s="67"/>
      <c r="R185" s="67"/>
      <c r="S185" s="69"/>
      <c r="T185" s="69"/>
      <c r="U185" s="69"/>
      <c r="V185" s="69"/>
      <c r="W185" s="69"/>
      <c r="X185" s="69"/>
      <c r="Y185" s="69"/>
      <c r="Z185" s="69"/>
      <c r="AA185" s="69"/>
      <c r="AB185" s="70"/>
      <c r="AC185" s="69"/>
      <c r="AD185" s="69"/>
      <c r="AE185" s="71"/>
      <c r="AF185" s="69"/>
    </row>
    <row r="186" s="3" customFormat="1" ht="15" customHeight="1" spans="1:46">
      <c r="A186" s="60">
        <v>161</v>
      </c>
      <c r="B186" s="61" t="s">
        <v>420</v>
      </c>
      <c r="C186" s="61" t="s">
        <v>417</v>
      </c>
      <c r="D186" s="61" t="s">
        <v>52</v>
      </c>
      <c r="E186" s="62">
        <v>24142</v>
      </c>
      <c r="F186" s="61">
        <v>27603</v>
      </c>
      <c r="G186" s="61" t="s">
        <v>85</v>
      </c>
      <c r="H186" s="63">
        <v>159</v>
      </c>
      <c r="I186" s="64" t="s">
        <v>58</v>
      </c>
      <c r="J186" s="63" t="s">
        <v>56</v>
      </c>
      <c r="K186" s="65"/>
      <c r="L186" s="66"/>
      <c r="M186" s="67"/>
      <c r="N186" s="67"/>
      <c r="O186" s="67"/>
      <c r="P186" s="68"/>
      <c r="Q186" s="67"/>
      <c r="R186" s="67"/>
      <c r="S186" s="69"/>
      <c r="T186" s="69"/>
      <c r="U186" s="69"/>
      <c r="V186" s="69"/>
      <c r="W186" s="69"/>
      <c r="X186" s="69"/>
      <c r="Y186" s="69"/>
      <c r="Z186" s="69"/>
      <c r="AA186" s="69"/>
      <c r="AB186" s="70"/>
      <c r="AC186" s="69"/>
      <c r="AD186" s="69"/>
      <c r="AE186" s="71"/>
      <c r="AF186" s="69"/>
    </row>
    <row r="187" s="3" customFormat="1" ht="15" customHeight="1" spans="1:46">
      <c r="A187" s="60">
        <v>162</v>
      </c>
      <c r="B187" s="61" t="s">
        <v>421</v>
      </c>
      <c r="C187" s="61" t="s">
        <v>422</v>
      </c>
      <c r="D187" s="61" t="s">
        <v>52</v>
      </c>
      <c r="E187" s="62">
        <v>31350</v>
      </c>
      <c r="F187" s="61">
        <v>10023</v>
      </c>
      <c r="G187" s="61" t="s">
        <v>53</v>
      </c>
      <c r="H187" s="63" t="s">
        <v>54</v>
      </c>
      <c r="I187" s="64" t="s">
        <v>53</v>
      </c>
      <c r="J187" s="63" t="s">
        <v>56</v>
      </c>
      <c r="K187" s="65" t="s">
        <v>57</v>
      </c>
      <c r="L187" s="66">
        <v>1235.83</v>
      </c>
      <c r="M187" s="67" t="s">
        <v>53</v>
      </c>
      <c r="N187" s="67" t="s">
        <v>59</v>
      </c>
      <c r="O187" s="67">
        <v>42.39</v>
      </c>
      <c r="P187" s="68" t="s">
        <v>53</v>
      </c>
      <c r="Q187" s="67" t="s">
        <v>60</v>
      </c>
      <c r="R187" s="67">
        <v>8.22</v>
      </c>
      <c r="S187" s="69" t="s">
        <v>61</v>
      </c>
      <c r="T187" s="69">
        <v>250000</v>
      </c>
      <c r="U187" s="69"/>
      <c r="V187" s="69" t="s">
        <v>62</v>
      </c>
      <c r="W187" s="69">
        <v>7222.58</v>
      </c>
      <c r="X187" s="69"/>
      <c r="Y187" s="69" t="s">
        <v>63</v>
      </c>
      <c r="Z187" s="69">
        <v>1500</v>
      </c>
      <c r="AA187" s="69"/>
      <c r="AB187" s="70"/>
      <c r="AC187" s="69" t="s">
        <v>423</v>
      </c>
      <c r="AD187" s="69"/>
      <c r="AE187" s="71">
        <v>135200</v>
      </c>
      <c r="AF187" s="69"/>
      <c r="AG187" s="3" t="str">
        <f>B187&amp;C187</f>
        <v>NoraHao</v>
      </c>
      <c r="AH187" s="3" t="str">
        <f>VLOOKUP($AG187,[1]Sheet8!$B:$G,1,0)</f>
        <v>NORAHAO</v>
      </c>
      <c r="AI187" s="3" t="str">
        <f>VLOOKUP($AG187,[1]Sheet8!$B:$G,4,0)</f>
        <v>EE</v>
      </c>
      <c r="AJ187" s="3" t="str">
        <f>VLOOKUP($AG187,[1]Sheet8!$B:$G,5,0)</f>
        <v>L093530003</v>
      </c>
      <c r="AK187" s="3">
        <f>VLOOKUP($AG187,[1]Sheet8!$B:$G,6,0)</f>
        <v>8.22</v>
      </c>
      <c r="AL187" s="3" t="s">
        <v>53</v>
      </c>
      <c r="AM187" s="3" t="s">
        <v>57</v>
      </c>
      <c r="AN187" s="3">
        <v>1235.83</v>
      </c>
      <c r="AO187" s="3" t="s">
        <v>53</v>
      </c>
      <c r="AP187" s="3" t="s">
        <v>59</v>
      </c>
      <c r="AQ187" s="3">
        <v>42.39</v>
      </c>
      <c r="AR187" s="3" t="s">
        <v>53</v>
      </c>
      <c r="AS187" s="3" t="s">
        <v>60</v>
      </c>
      <c r="AT187" s="3">
        <v>8.22</v>
      </c>
    </row>
    <row r="188" s="3" customFormat="1" ht="15" customHeight="1" spans="1:46">
      <c r="A188" s="60">
        <v>163</v>
      </c>
      <c r="B188" s="61" t="s">
        <v>424</v>
      </c>
      <c r="C188" s="61" t="s">
        <v>425</v>
      </c>
      <c r="D188" s="61" t="s">
        <v>67</v>
      </c>
      <c r="E188" s="62">
        <v>30457</v>
      </c>
      <c r="F188" s="61">
        <v>41097</v>
      </c>
      <c r="G188" s="61" t="s">
        <v>53</v>
      </c>
      <c r="H188" s="63" t="s">
        <v>54</v>
      </c>
      <c r="I188" s="64" t="s">
        <v>58</v>
      </c>
      <c r="J188" s="63" t="s">
        <v>56</v>
      </c>
      <c r="K188" s="65" t="s">
        <v>82</v>
      </c>
      <c r="L188" s="66">
        <v>2423.56</v>
      </c>
      <c r="M188" s="67" t="s">
        <v>58</v>
      </c>
      <c r="N188" s="67" t="s">
        <v>59</v>
      </c>
      <c r="O188" s="67">
        <v>147.1</v>
      </c>
      <c r="P188" s="68" t="s">
        <v>58</v>
      </c>
      <c r="Q188" s="67" t="s">
        <v>60</v>
      </c>
      <c r="R188" s="67">
        <v>23</v>
      </c>
      <c r="S188" s="69" t="s">
        <v>61</v>
      </c>
      <c r="T188" s="69">
        <v>243000</v>
      </c>
      <c r="U188" s="69"/>
      <c r="V188" s="69" t="s">
        <v>62</v>
      </c>
      <c r="W188" s="69">
        <v>6740.84</v>
      </c>
      <c r="X188" s="69"/>
      <c r="Y188" s="69" t="s">
        <v>63</v>
      </c>
      <c r="Z188" s="69">
        <v>1400</v>
      </c>
      <c r="AA188" s="69"/>
      <c r="AB188" s="70"/>
      <c r="AC188" s="69" t="s">
        <v>426</v>
      </c>
      <c r="AD188" s="69"/>
      <c r="AE188" s="71">
        <v>124362</v>
      </c>
      <c r="AF188" s="69"/>
      <c r="AG188" s="3" t="str">
        <f>B188&amp;C188</f>
        <v>JoshHarbaugh</v>
      </c>
      <c r="AH188" s="3" t="str">
        <f>VLOOKUP($AG188,[1]Sheet8!$B:$G,1,0)</f>
        <v>JOSHHARBAUGH</v>
      </c>
      <c r="AI188" s="3" t="str">
        <f>VLOOKUP($AG188,[1]Sheet8!$B:$G,4,0)</f>
        <v>FAM</v>
      </c>
      <c r="AJ188" s="3" t="str">
        <f>VLOOKUP($AG188,[1]Sheet8!$B:$G,5,0)</f>
        <v>L093530003</v>
      </c>
      <c r="AK188" s="3">
        <f>VLOOKUP($AG188,[1]Sheet8!$B:$G,6,0)</f>
        <v>23</v>
      </c>
      <c r="AL188" s="3" t="s">
        <v>58</v>
      </c>
      <c r="AM188" s="3" t="s">
        <v>82</v>
      </c>
      <c r="AN188" s="3">
        <v>2423.56</v>
      </c>
      <c r="AO188" s="3" t="s">
        <v>58</v>
      </c>
      <c r="AP188" s="3" t="s">
        <v>59</v>
      </c>
      <c r="AQ188" s="3">
        <v>147.1</v>
      </c>
      <c r="AR188" s="3" t="s">
        <v>58</v>
      </c>
      <c r="AS188" s="3" t="s">
        <v>60</v>
      </c>
      <c r="AT188" s="3">
        <v>23</v>
      </c>
    </row>
    <row r="189" s="3" customFormat="1" ht="15" customHeight="1" spans="1:46">
      <c r="A189" s="60">
        <v>164</v>
      </c>
      <c r="B189" s="61" t="s">
        <v>427</v>
      </c>
      <c r="C189" s="61" t="s">
        <v>425</v>
      </c>
      <c r="D189" s="61" t="s">
        <v>67</v>
      </c>
      <c r="E189" s="62">
        <v>41084</v>
      </c>
      <c r="F189" s="61">
        <v>41097</v>
      </c>
      <c r="G189" s="61" t="s">
        <v>68</v>
      </c>
      <c r="H189" s="63">
        <v>163</v>
      </c>
      <c r="I189" s="64" t="s">
        <v>58</v>
      </c>
      <c r="J189" s="63" t="s">
        <v>56</v>
      </c>
      <c r="K189" s="65"/>
      <c r="L189" s="66"/>
      <c r="M189" s="67"/>
      <c r="N189" s="67"/>
      <c r="O189" s="67"/>
      <c r="P189" s="68"/>
      <c r="Q189" s="67"/>
      <c r="R189" s="67"/>
      <c r="S189" s="69"/>
      <c r="T189" s="69"/>
      <c r="U189" s="69"/>
      <c r="V189" s="69"/>
      <c r="W189" s="69"/>
      <c r="X189" s="69"/>
      <c r="Y189" s="69"/>
      <c r="Z189" s="69"/>
      <c r="AA189" s="69"/>
      <c r="AB189" s="70"/>
      <c r="AC189" s="69"/>
      <c r="AD189" s="69"/>
      <c r="AE189" s="71"/>
      <c r="AF189" s="69"/>
    </row>
    <row r="190" s="3" customFormat="1" ht="15" customHeight="1" spans="1:46">
      <c r="A190" s="60">
        <v>165</v>
      </c>
      <c r="B190" s="61" t="s">
        <v>428</v>
      </c>
      <c r="C190" s="61" t="s">
        <v>425</v>
      </c>
      <c r="D190" s="61" t="s">
        <v>52</v>
      </c>
      <c r="E190" s="62">
        <v>40438</v>
      </c>
      <c r="F190" s="61">
        <v>41097</v>
      </c>
      <c r="G190" s="61" t="s">
        <v>68</v>
      </c>
      <c r="H190" s="63">
        <v>163</v>
      </c>
      <c r="I190" s="64" t="s">
        <v>58</v>
      </c>
      <c r="J190" s="63" t="s">
        <v>56</v>
      </c>
      <c r="K190" s="65"/>
      <c r="L190" s="66"/>
      <c r="M190" s="67"/>
      <c r="N190" s="67"/>
      <c r="O190" s="67"/>
      <c r="P190" s="68"/>
      <c r="Q190" s="67"/>
      <c r="R190" s="67"/>
      <c r="S190" s="69"/>
      <c r="T190" s="69"/>
      <c r="U190" s="69"/>
      <c r="V190" s="69"/>
      <c r="W190" s="69"/>
      <c r="X190" s="69"/>
      <c r="Y190" s="69"/>
      <c r="Z190" s="69"/>
      <c r="AA190" s="69"/>
      <c r="AB190" s="70"/>
      <c r="AC190" s="69"/>
      <c r="AD190" s="69"/>
      <c r="AE190" s="71"/>
      <c r="AF190" s="69"/>
    </row>
    <row r="191" s="3" customFormat="1" ht="15" customHeight="1" spans="1:46">
      <c r="A191" s="60">
        <v>166</v>
      </c>
      <c r="B191" s="61" t="s">
        <v>429</v>
      </c>
      <c r="C191" s="61" t="s">
        <v>425</v>
      </c>
      <c r="D191" s="61" t="s">
        <v>52</v>
      </c>
      <c r="E191" s="62">
        <v>41309</v>
      </c>
      <c r="F191" s="61">
        <v>41097</v>
      </c>
      <c r="G191" s="61" t="s">
        <v>68</v>
      </c>
      <c r="H191" s="63">
        <v>163</v>
      </c>
      <c r="I191" s="64" t="s">
        <v>58</v>
      </c>
      <c r="J191" s="63" t="s">
        <v>56</v>
      </c>
      <c r="K191" s="65"/>
      <c r="L191" s="66"/>
      <c r="M191" s="67"/>
      <c r="N191" s="67"/>
      <c r="O191" s="67"/>
      <c r="P191" s="68"/>
      <c r="Q191" s="67"/>
      <c r="R191" s="67"/>
      <c r="S191" s="69"/>
      <c r="T191" s="69"/>
      <c r="U191" s="69"/>
      <c r="V191" s="69"/>
      <c r="W191" s="69"/>
      <c r="X191" s="69"/>
      <c r="Y191" s="69"/>
      <c r="Z191" s="69"/>
      <c r="AA191" s="69"/>
      <c r="AB191" s="70"/>
      <c r="AC191" s="69"/>
      <c r="AD191" s="69"/>
      <c r="AE191" s="71"/>
      <c r="AF191" s="69"/>
    </row>
    <row r="192" s="3" customFormat="1" ht="15" customHeight="1" spans="1:46">
      <c r="A192" s="60">
        <v>167</v>
      </c>
      <c r="B192" s="61" t="s">
        <v>430</v>
      </c>
      <c r="C192" s="61" t="s">
        <v>425</v>
      </c>
      <c r="D192" s="61" t="s">
        <v>52</v>
      </c>
      <c r="E192" s="62">
        <v>30744</v>
      </c>
      <c r="F192" s="61">
        <v>41097</v>
      </c>
      <c r="G192" s="61" t="s">
        <v>85</v>
      </c>
      <c r="H192" s="63">
        <v>163</v>
      </c>
      <c r="I192" s="64" t="s">
        <v>58</v>
      </c>
      <c r="J192" s="63" t="s">
        <v>56</v>
      </c>
      <c r="K192" s="65"/>
      <c r="L192" s="66"/>
      <c r="M192" s="67"/>
      <c r="N192" s="67"/>
      <c r="O192" s="67"/>
      <c r="P192" s="68"/>
      <c r="Q192" s="67"/>
      <c r="R192" s="67"/>
      <c r="S192" s="69"/>
      <c r="T192" s="69"/>
      <c r="U192" s="69"/>
      <c r="V192" s="69"/>
      <c r="W192" s="69"/>
      <c r="X192" s="69"/>
      <c r="Y192" s="69"/>
      <c r="Z192" s="69"/>
      <c r="AA192" s="69"/>
      <c r="AB192" s="70"/>
      <c r="AC192" s="69"/>
      <c r="AD192" s="69"/>
      <c r="AE192" s="71"/>
      <c r="AF192" s="69"/>
    </row>
    <row r="193" s="3" customFormat="1" ht="15" customHeight="1" spans="1:46">
      <c r="A193" s="60">
        <v>168</v>
      </c>
      <c r="B193" s="61" t="s">
        <v>431</v>
      </c>
      <c r="C193" s="61" t="s">
        <v>432</v>
      </c>
      <c r="D193" s="61" t="s">
        <v>67</v>
      </c>
      <c r="E193" s="62">
        <v>33878</v>
      </c>
      <c r="F193" s="61">
        <v>40403</v>
      </c>
      <c r="G193" s="61" t="s">
        <v>53</v>
      </c>
      <c r="H193" s="63" t="s">
        <v>54</v>
      </c>
      <c r="I193" s="64" t="s">
        <v>53</v>
      </c>
      <c r="J193" s="63" t="s">
        <v>56</v>
      </c>
      <c r="K193" s="65" t="s">
        <v>57</v>
      </c>
      <c r="L193" s="66">
        <v>1235.83</v>
      </c>
      <c r="M193" s="67" t="s">
        <v>53</v>
      </c>
      <c r="N193" s="67" t="s">
        <v>59</v>
      </c>
      <c r="O193" s="67">
        <v>42.39</v>
      </c>
      <c r="P193" s="68" t="s">
        <v>53</v>
      </c>
      <c r="Q193" s="67" t="s">
        <v>60</v>
      </c>
      <c r="R193" s="67">
        <v>8.22</v>
      </c>
      <c r="S193" s="69" t="s">
        <v>61</v>
      </c>
      <c r="T193" s="69">
        <v>142000</v>
      </c>
      <c r="U193" s="69"/>
      <c r="V193" s="69" t="s">
        <v>62</v>
      </c>
      <c r="W193" s="69">
        <v>3931.75</v>
      </c>
      <c r="X193" s="69"/>
      <c r="Y193" s="69" t="s">
        <v>63</v>
      </c>
      <c r="Z193" s="69">
        <v>817</v>
      </c>
      <c r="AA193" s="69"/>
      <c r="AB193" s="70"/>
      <c r="AC193" s="69" t="s">
        <v>416</v>
      </c>
      <c r="AD193" s="69"/>
      <c r="AE193" s="71">
        <v>71829</v>
      </c>
      <c r="AF193" s="69"/>
      <c r="AG193" s="3" t="str">
        <f>B193&amp;C193</f>
        <v>TrevorHarrison</v>
      </c>
      <c r="AH193" s="3" t="str">
        <f>VLOOKUP($AG193,[1]Sheet8!$B:$G,1,0)</f>
        <v>TREVORHARRISON</v>
      </c>
      <c r="AI193" s="3" t="str">
        <f>VLOOKUP($AG193,[1]Sheet8!$B:$G,4,0)</f>
        <v>EE</v>
      </c>
      <c r="AJ193" s="3" t="str">
        <f>VLOOKUP($AG193,[1]Sheet8!$B:$G,5,0)</f>
        <v>L093530003</v>
      </c>
      <c r="AK193" s="3">
        <f>VLOOKUP($AG193,[1]Sheet8!$B:$G,6,0)</f>
        <v>8.22</v>
      </c>
      <c r="AL193" s="3" t="s">
        <v>53</v>
      </c>
      <c r="AM193" s="3" t="s">
        <v>57</v>
      </c>
      <c r="AN193" s="3">
        <v>1235.83</v>
      </c>
      <c r="AO193" s="3" t="s">
        <v>53</v>
      </c>
      <c r="AP193" s="3" t="s">
        <v>59</v>
      </c>
      <c r="AQ193" s="3">
        <v>42.39</v>
      </c>
      <c r="AR193" s="3" t="s">
        <v>53</v>
      </c>
      <c r="AS193" s="3" t="s">
        <v>60</v>
      </c>
      <c r="AT193" s="3">
        <v>8.22</v>
      </c>
    </row>
    <row r="194" s="3" customFormat="1" ht="15" customHeight="1" spans="1:46">
      <c r="A194" s="60">
        <v>169</v>
      </c>
      <c r="B194" s="61" t="s">
        <v>433</v>
      </c>
      <c r="C194" s="61" t="s">
        <v>434</v>
      </c>
      <c r="D194" s="61" t="s">
        <v>52</v>
      </c>
      <c r="E194" s="62">
        <v>36816</v>
      </c>
      <c r="F194" s="61">
        <v>30045</v>
      </c>
      <c r="G194" s="61" t="s">
        <v>53</v>
      </c>
      <c r="H194" s="63" t="s">
        <v>54</v>
      </c>
      <c r="I194" s="64" t="s">
        <v>53</v>
      </c>
      <c r="J194" s="63" t="s">
        <v>56</v>
      </c>
      <c r="K194" s="65" t="s">
        <v>57</v>
      </c>
      <c r="L194" s="66">
        <v>1235.83</v>
      </c>
      <c r="M194" s="67" t="s">
        <v>53</v>
      </c>
      <c r="N194" s="67" t="s">
        <v>59</v>
      </c>
      <c r="O194" s="67">
        <v>42.39</v>
      </c>
      <c r="P194" s="68" t="s">
        <v>53</v>
      </c>
      <c r="Q194" s="67" t="s">
        <v>60</v>
      </c>
      <c r="R194" s="67">
        <v>8.22</v>
      </c>
      <c r="S194" s="69" t="s">
        <v>61</v>
      </c>
      <c r="T194" s="69">
        <v>150000</v>
      </c>
      <c r="U194" s="69"/>
      <c r="V194" s="69" t="s">
        <v>62</v>
      </c>
      <c r="W194" s="69">
        <v>4166.88</v>
      </c>
      <c r="X194" s="69"/>
      <c r="Y194" s="69" t="s">
        <v>63</v>
      </c>
      <c r="Z194" s="69">
        <v>865</v>
      </c>
      <c r="AA194" s="69"/>
      <c r="AB194" s="70"/>
      <c r="AC194" s="69" t="s">
        <v>201</v>
      </c>
      <c r="AD194" s="69"/>
      <c r="AE194" s="71">
        <v>75750</v>
      </c>
      <c r="AF194" s="69"/>
      <c r="AG194" s="3" t="str">
        <f>B194&amp;C194</f>
        <v>JaydaHart</v>
      </c>
      <c r="AH194" s="3" t="str">
        <f>VLOOKUP($AG194,[1]Sheet8!$B:$G,1,0)</f>
        <v>JAYDAHART</v>
      </c>
      <c r="AI194" s="3" t="str">
        <f>VLOOKUP($AG194,[1]Sheet8!$B:$G,4,0)</f>
        <v>EE</v>
      </c>
      <c r="AJ194" s="3" t="str">
        <f>VLOOKUP($AG194,[1]Sheet8!$B:$G,5,0)</f>
        <v>L093530003</v>
      </c>
      <c r="AK194" s="3">
        <f>VLOOKUP($AG194,[1]Sheet8!$B:$G,6,0)</f>
        <v>8.22</v>
      </c>
      <c r="AL194" s="3" t="s">
        <v>53</v>
      </c>
      <c r="AM194" s="3" t="s">
        <v>57</v>
      </c>
      <c r="AN194" s="3">
        <v>1235.83</v>
      </c>
      <c r="AO194" s="3" t="s">
        <v>53</v>
      </c>
      <c r="AP194" s="3" t="s">
        <v>59</v>
      </c>
      <c r="AQ194" s="3">
        <v>42.39</v>
      </c>
      <c r="AR194" s="3" t="s">
        <v>53</v>
      </c>
      <c r="AS194" s="3" t="s">
        <v>60</v>
      </c>
      <c r="AT194" s="3">
        <v>8.22</v>
      </c>
    </row>
    <row r="195" s="3" customFormat="1" ht="15" customHeight="1" spans="1:46">
      <c r="A195" s="60">
        <v>170</v>
      </c>
      <c r="B195" s="61" t="s">
        <v>50</v>
      </c>
      <c r="C195" s="61" t="s">
        <v>435</v>
      </c>
      <c r="D195" s="61" t="s">
        <v>67</v>
      </c>
      <c r="E195" s="62">
        <v>35334</v>
      </c>
      <c r="F195" s="61">
        <v>94122</v>
      </c>
      <c r="G195" s="61" t="s">
        <v>53</v>
      </c>
      <c r="H195" s="63" t="s">
        <v>54</v>
      </c>
      <c r="I195" s="64" t="s">
        <v>53</v>
      </c>
      <c r="J195" s="63" t="s">
        <v>56</v>
      </c>
      <c r="K195" s="65" t="s">
        <v>57</v>
      </c>
      <c r="L195" s="66">
        <v>1235.83</v>
      </c>
      <c r="M195" s="67" t="s">
        <v>53</v>
      </c>
      <c r="N195" s="67" t="s">
        <v>59</v>
      </c>
      <c r="O195" s="67">
        <v>42.39</v>
      </c>
      <c r="P195" s="68" t="s">
        <v>53</v>
      </c>
      <c r="Q195" s="67" t="s">
        <v>60</v>
      </c>
      <c r="R195" s="67">
        <v>8.22</v>
      </c>
      <c r="S195" s="69" t="s">
        <v>61</v>
      </c>
      <c r="T195" s="69">
        <v>198000</v>
      </c>
      <c r="U195" s="69"/>
      <c r="V195" s="69" t="s">
        <v>62</v>
      </c>
      <c r="W195" s="69">
        <v>5500.28</v>
      </c>
      <c r="X195" s="69"/>
      <c r="Y195" s="69" t="s">
        <v>63</v>
      </c>
      <c r="Z195" s="69">
        <v>1142</v>
      </c>
      <c r="AA195" s="69"/>
      <c r="AB195" s="70"/>
      <c r="AC195" s="69" t="s">
        <v>144</v>
      </c>
      <c r="AD195" s="69"/>
      <c r="AE195" s="71">
        <v>101970</v>
      </c>
      <c r="AF195" s="69"/>
      <c r="AG195" s="3" t="str">
        <f>B195&amp;C195</f>
        <v>NourHatoum</v>
      </c>
      <c r="AH195" s="3" t="str">
        <f>VLOOKUP($AG195,[1]Sheet8!$B:$G,1,0)</f>
        <v>NOURHATOUM</v>
      </c>
      <c r="AI195" s="3" t="str">
        <f>VLOOKUP($AG195,[1]Sheet8!$B:$G,4,0)</f>
        <v>EE</v>
      </c>
      <c r="AJ195" s="3" t="str">
        <f>VLOOKUP($AG195,[1]Sheet8!$B:$G,5,0)</f>
        <v>L093530003</v>
      </c>
      <c r="AK195" s="3">
        <f>VLOOKUP($AG195,[1]Sheet8!$B:$G,6,0)</f>
        <v>8.22</v>
      </c>
      <c r="AL195" s="3" t="s">
        <v>53</v>
      </c>
      <c r="AM195" s="3" t="s">
        <v>57</v>
      </c>
      <c r="AN195" s="3">
        <v>1235.83</v>
      </c>
      <c r="AO195" s="3" t="s">
        <v>53</v>
      </c>
      <c r="AP195" s="3" t="s">
        <v>59</v>
      </c>
      <c r="AQ195" s="3">
        <v>42.39</v>
      </c>
      <c r="AR195" s="3" t="s">
        <v>53</v>
      </c>
      <c r="AS195" s="3" t="s">
        <v>60</v>
      </c>
      <c r="AT195" s="3">
        <v>8.22</v>
      </c>
    </row>
    <row r="196" s="3" customFormat="1" ht="15" customHeight="1" spans="1:46">
      <c r="A196" s="60">
        <v>171</v>
      </c>
      <c r="B196" s="61" t="s">
        <v>436</v>
      </c>
      <c r="C196" s="61" t="s">
        <v>437</v>
      </c>
      <c r="D196" s="61" t="s">
        <v>52</v>
      </c>
      <c r="E196" s="62">
        <v>29858</v>
      </c>
      <c r="F196" s="61">
        <v>76226</v>
      </c>
      <c r="G196" s="61" t="s">
        <v>53</v>
      </c>
      <c r="H196" s="63" t="s">
        <v>54</v>
      </c>
      <c r="I196" s="64" t="s">
        <v>55</v>
      </c>
      <c r="J196" s="63" t="s">
        <v>56</v>
      </c>
      <c r="K196" s="65" t="s">
        <v>57</v>
      </c>
      <c r="L196" s="66">
        <v>2224.48</v>
      </c>
      <c r="M196" s="67" t="s">
        <v>81</v>
      </c>
      <c r="N196" s="67" t="s">
        <v>59</v>
      </c>
      <c r="O196" s="67">
        <v>84.72</v>
      </c>
      <c r="P196" s="68" t="s">
        <v>55</v>
      </c>
      <c r="Q196" s="67" t="s">
        <v>60</v>
      </c>
      <c r="R196" s="67">
        <v>13.95</v>
      </c>
      <c r="S196" s="69" t="s">
        <v>61</v>
      </c>
      <c r="T196" s="69">
        <v>250000</v>
      </c>
      <c r="U196" s="69"/>
      <c r="V196" s="69" t="s">
        <v>62</v>
      </c>
      <c r="W196" s="69">
        <v>8889.33</v>
      </c>
      <c r="X196" s="69"/>
      <c r="Y196" s="69" t="s">
        <v>63</v>
      </c>
      <c r="Z196" s="69">
        <v>1846</v>
      </c>
      <c r="AA196" s="69"/>
      <c r="AB196" s="70"/>
      <c r="AC196" s="69" t="s">
        <v>438</v>
      </c>
      <c r="AD196" s="69"/>
      <c r="AE196" s="71">
        <v>177240</v>
      </c>
      <c r="AF196" s="69"/>
      <c r="AG196" s="3" t="str">
        <f>B196&amp;C196</f>
        <v>BrandyHecke</v>
      </c>
      <c r="AH196" s="3" t="str">
        <f>VLOOKUP($AG196,[1]Sheet8!$B:$G,1,0)</f>
        <v>BRANDYHECKE</v>
      </c>
      <c r="AI196" s="3" t="str">
        <f>VLOOKUP($AG196,[1]Sheet8!$B:$G,4,0)</f>
        <v>EC</v>
      </c>
      <c r="AJ196" s="3" t="str">
        <f>VLOOKUP($AG196,[1]Sheet8!$B:$G,5,0)</f>
        <v>L093530003</v>
      </c>
      <c r="AK196" s="3">
        <f>VLOOKUP($AG196,[1]Sheet8!$B:$G,6,0)</f>
        <v>13.95</v>
      </c>
      <c r="AL196" s="3" t="s">
        <v>55</v>
      </c>
      <c r="AM196" s="3" t="s">
        <v>57</v>
      </c>
      <c r="AN196" s="3">
        <v>2224.48</v>
      </c>
      <c r="AO196" s="3" t="s">
        <v>81</v>
      </c>
      <c r="AP196" s="3" t="s">
        <v>59</v>
      </c>
      <c r="AQ196" s="3">
        <v>84.72</v>
      </c>
      <c r="AR196" s="3" t="s">
        <v>55</v>
      </c>
      <c r="AS196" s="3" t="s">
        <v>60</v>
      </c>
      <c r="AT196" s="3">
        <v>13.95</v>
      </c>
    </row>
    <row r="197" s="3" customFormat="1" ht="15" customHeight="1" spans="1:46">
      <c r="A197" s="60">
        <v>172</v>
      </c>
      <c r="B197" s="61" t="s">
        <v>439</v>
      </c>
      <c r="C197" s="61" t="s">
        <v>437</v>
      </c>
      <c r="D197" s="61" t="s">
        <v>52</v>
      </c>
      <c r="E197" s="62">
        <v>42066</v>
      </c>
      <c r="F197" s="61">
        <v>76226</v>
      </c>
      <c r="G197" s="61" t="s">
        <v>68</v>
      </c>
      <c r="H197" s="63">
        <v>171</v>
      </c>
      <c r="I197" s="64" t="s">
        <v>55</v>
      </c>
      <c r="J197" s="63" t="s">
        <v>56</v>
      </c>
      <c r="K197" s="65"/>
      <c r="L197" s="66"/>
      <c r="M197" s="67"/>
      <c r="N197" s="67"/>
      <c r="O197" s="67"/>
      <c r="P197" s="68"/>
      <c r="Q197" s="67"/>
      <c r="R197" s="67"/>
      <c r="S197" s="69"/>
      <c r="T197" s="69"/>
      <c r="U197" s="69"/>
      <c r="V197" s="69"/>
      <c r="W197" s="69"/>
      <c r="X197" s="69"/>
      <c r="Y197" s="69"/>
      <c r="Z197" s="69"/>
      <c r="AA197" s="69"/>
      <c r="AB197" s="70"/>
      <c r="AC197" s="69"/>
      <c r="AD197" s="69"/>
      <c r="AE197" s="71"/>
      <c r="AF197" s="69"/>
    </row>
    <row r="198" s="3" customFormat="1" ht="15" customHeight="1" spans="1:46">
      <c r="A198" s="60">
        <v>173</v>
      </c>
      <c r="B198" s="61" t="s">
        <v>188</v>
      </c>
      <c r="C198" s="61" t="s">
        <v>440</v>
      </c>
      <c r="D198" s="61" t="s">
        <v>67</v>
      </c>
      <c r="E198" s="62">
        <v>30120</v>
      </c>
      <c r="F198" s="61">
        <v>21146</v>
      </c>
      <c r="G198" s="61" t="s">
        <v>53</v>
      </c>
      <c r="H198" s="63" t="s">
        <v>54</v>
      </c>
      <c r="I198" s="64" t="s">
        <v>55</v>
      </c>
      <c r="J198" s="63" t="s">
        <v>56</v>
      </c>
      <c r="K198" s="65" t="s">
        <v>57</v>
      </c>
      <c r="L198" s="66">
        <v>2224.48</v>
      </c>
      <c r="M198" s="67" t="s">
        <v>58</v>
      </c>
      <c r="N198" s="67" t="s">
        <v>59</v>
      </c>
      <c r="O198" s="67">
        <v>147.1</v>
      </c>
      <c r="P198" s="68" t="s">
        <v>55</v>
      </c>
      <c r="Q198" s="67" t="s">
        <v>60</v>
      </c>
      <c r="R198" s="67">
        <v>13.95</v>
      </c>
      <c r="S198" s="69" t="s">
        <v>61</v>
      </c>
      <c r="T198" s="69">
        <v>200000</v>
      </c>
      <c r="U198" s="69"/>
      <c r="V198" s="69" t="s">
        <v>62</v>
      </c>
      <c r="W198" s="69">
        <v>5555.83</v>
      </c>
      <c r="X198" s="69"/>
      <c r="Y198" s="69" t="s">
        <v>63</v>
      </c>
      <c r="Z198" s="69">
        <v>1154</v>
      </c>
      <c r="AA198" s="69"/>
      <c r="AB198" s="70"/>
      <c r="AC198" s="69" t="s">
        <v>441</v>
      </c>
      <c r="AD198" s="69"/>
      <c r="AE198" s="71">
        <v>100000</v>
      </c>
      <c r="AF198" s="69"/>
      <c r="AG198" s="3" t="str">
        <f>B198&amp;C198</f>
        <v>RobertHeilig</v>
      </c>
      <c r="AH198" s="3" t="str">
        <f>VLOOKUP($AG198,[1]Sheet8!$B:$G,1,0)</f>
        <v>ROBERTHEILIG</v>
      </c>
      <c r="AI198" s="3" t="str">
        <f>VLOOKUP($AG198,[1]Sheet8!$B:$G,4,0)</f>
        <v>EC</v>
      </c>
      <c r="AJ198" s="3" t="str">
        <f>VLOOKUP($AG198,[1]Sheet8!$B:$G,5,0)</f>
        <v>L093530003</v>
      </c>
      <c r="AK198" s="3">
        <f>VLOOKUP($AG198,[1]Sheet8!$B:$G,6,0)</f>
        <v>13.95</v>
      </c>
      <c r="AL198" s="3" t="s">
        <v>55</v>
      </c>
      <c r="AM198" s="3" t="s">
        <v>57</v>
      </c>
      <c r="AN198" s="3">
        <v>2224.48</v>
      </c>
      <c r="AO198" s="3" t="s">
        <v>58</v>
      </c>
      <c r="AP198" s="3" t="s">
        <v>59</v>
      </c>
      <c r="AQ198" s="3">
        <v>147.1</v>
      </c>
      <c r="AR198" s="3" t="s">
        <v>55</v>
      </c>
      <c r="AS198" s="3" t="s">
        <v>60</v>
      </c>
      <c r="AT198" s="3">
        <v>13.95</v>
      </c>
    </row>
    <row r="199" s="3" customFormat="1" ht="15" customHeight="1" spans="1:46">
      <c r="A199" s="60">
        <v>174</v>
      </c>
      <c r="B199" s="61" t="s">
        <v>442</v>
      </c>
      <c r="C199" s="61" t="s">
        <v>440</v>
      </c>
      <c r="D199" s="61" t="s">
        <v>52</v>
      </c>
      <c r="E199" s="62">
        <v>43897</v>
      </c>
      <c r="F199" s="61">
        <v>21146</v>
      </c>
      <c r="G199" s="61" t="s">
        <v>68</v>
      </c>
      <c r="H199" s="63">
        <v>173</v>
      </c>
      <c r="I199" s="64" t="s">
        <v>55</v>
      </c>
      <c r="J199" s="63" t="s">
        <v>56</v>
      </c>
      <c r="K199" s="65"/>
      <c r="L199" s="66"/>
      <c r="M199" s="67"/>
      <c r="N199" s="67"/>
      <c r="O199" s="67"/>
      <c r="P199" s="68"/>
      <c r="Q199" s="67"/>
      <c r="R199" s="67"/>
      <c r="S199" s="69"/>
      <c r="T199" s="69"/>
      <c r="U199" s="69"/>
      <c r="V199" s="69"/>
      <c r="W199" s="69"/>
      <c r="X199" s="69"/>
      <c r="Y199" s="69"/>
      <c r="Z199" s="69"/>
      <c r="AA199" s="69"/>
      <c r="AB199" s="70"/>
      <c r="AC199" s="69"/>
      <c r="AD199" s="69"/>
      <c r="AE199" s="71"/>
      <c r="AF199" s="69"/>
    </row>
    <row r="200" s="3" customFormat="1" ht="15" customHeight="1" spans="1:46">
      <c r="A200" s="60">
        <v>175</v>
      </c>
      <c r="B200" s="61" t="s">
        <v>443</v>
      </c>
      <c r="C200" s="61" t="s">
        <v>440</v>
      </c>
      <c r="D200" s="61" t="s">
        <v>67</v>
      </c>
      <c r="E200" s="62">
        <v>45134</v>
      </c>
      <c r="F200" s="61">
        <v>21146</v>
      </c>
      <c r="G200" s="61" t="s">
        <v>68</v>
      </c>
      <c r="H200" s="63">
        <v>173</v>
      </c>
      <c r="I200" s="64" t="s">
        <v>55</v>
      </c>
      <c r="J200" s="63" t="s">
        <v>56</v>
      </c>
      <c r="K200" s="65"/>
      <c r="L200" s="66"/>
      <c r="M200" s="67"/>
      <c r="N200" s="67"/>
      <c r="O200" s="67"/>
      <c r="P200" s="68"/>
      <c r="Q200" s="67"/>
      <c r="R200" s="67"/>
      <c r="S200" s="69"/>
      <c r="T200" s="69"/>
      <c r="U200" s="69"/>
      <c r="V200" s="69"/>
      <c r="W200" s="69"/>
      <c r="X200" s="69"/>
      <c r="Y200" s="69"/>
      <c r="Z200" s="69"/>
      <c r="AA200" s="69"/>
      <c r="AB200" s="70"/>
      <c r="AC200" s="69"/>
      <c r="AD200" s="69"/>
      <c r="AE200" s="71"/>
      <c r="AF200" s="69"/>
    </row>
    <row r="201" s="3" customFormat="1" ht="15" customHeight="1" spans="1:46">
      <c r="A201" s="60">
        <v>176</v>
      </c>
      <c r="B201" s="61" t="s">
        <v>444</v>
      </c>
      <c r="C201" s="61" t="s">
        <v>445</v>
      </c>
      <c r="D201" s="61" t="s">
        <v>67</v>
      </c>
      <c r="E201" s="62">
        <v>34921</v>
      </c>
      <c r="F201" s="61">
        <v>98335</v>
      </c>
      <c r="G201" s="61" t="s">
        <v>53</v>
      </c>
      <c r="H201" s="63" t="s">
        <v>54</v>
      </c>
      <c r="I201" s="64" t="s">
        <v>81</v>
      </c>
      <c r="J201" s="63" t="s">
        <v>56</v>
      </c>
      <c r="K201" s="65" t="s">
        <v>82</v>
      </c>
      <c r="L201" s="66">
        <v>1719.95</v>
      </c>
      <c r="M201" s="67" t="s">
        <v>81</v>
      </c>
      <c r="N201" s="67" t="s">
        <v>59</v>
      </c>
      <c r="O201" s="67">
        <v>84.72</v>
      </c>
      <c r="P201" s="68"/>
      <c r="Q201" s="67"/>
      <c r="R201" s="67"/>
      <c r="S201" s="69" t="s">
        <v>61</v>
      </c>
      <c r="T201" s="69">
        <v>210000</v>
      </c>
      <c r="U201" s="69"/>
      <c r="V201" s="69" t="s">
        <v>62</v>
      </c>
      <c r="W201" s="69">
        <v>5833.63</v>
      </c>
      <c r="X201" s="69"/>
      <c r="Y201" s="69" t="s">
        <v>63</v>
      </c>
      <c r="Z201" s="69">
        <v>1212</v>
      </c>
      <c r="AA201" s="69"/>
      <c r="AB201" s="70"/>
      <c r="AC201" s="69" t="s">
        <v>343</v>
      </c>
      <c r="AD201" s="69"/>
      <c r="AE201" s="71">
        <v>105000</v>
      </c>
      <c r="AF201" s="69"/>
      <c r="AG201" s="3" t="str">
        <f>B201&amp;C201</f>
        <v>CanyenHeimuli</v>
      </c>
      <c r="AH201" s="3" t="e">
        <f>VLOOKUP($AG201,[1]Sheet8!$B:$G,1,0)</f>
        <v>#N/A</v>
      </c>
      <c r="AI201" s="3" t="e">
        <f>VLOOKUP($AG201,[1]Sheet8!$B:$G,4,0)</f>
        <v>#N/A</v>
      </c>
      <c r="AJ201" s="3" t="e">
        <f>VLOOKUP($AG201,[1]Sheet8!$B:$G,5,0)</f>
        <v>#N/A</v>
      </c>
      <c r="AK201" s="3" t="e">
        <f>VLOOKUP($AG201,[1]Sheet8!$B:$G,6,0)</f>
        <v>#N/A</v>
      </c>
      <c r="AL201" s="3" t="s">
        <v>81</v>
      </c>
      <c r="AM201" s="3" t="s">
        <v>82</v>
      </c>
      <c r="AN201" s="3">
        <v>1719.95</v>
      </c>
      <c r="AO201" s="3" t="s">
        <v>81</v>
      </c>
      <c r="AP201" s="3" t="s">
        <v>59</v>
      </c>
      <c r="AQ201" s="3">
        <v>84.72</v>
      </c>
    </row>
    <row r="202" s="3" customFormat="1" ht="15" customHeight="1" spans="1:46">
      <c r="A202" s="60">
        <v>177</v>
      </c>
      <c r="B202" s="61" t="s">
        <v>124</v>
      </c>
      <c r="C202" s="61" t="s">
        <v>446</v>
      </c>
      <c r="D202" s="61" t="s">
        <v>52</v>
      </c>
      <c r="E202" s="62">
        <v>35613</v>
      </c>
      <c r="F202" s="61">
        <v>98335</v>
      </c>
      <c r="G202" s="61" t="s">
        <v>85</v>
      </c>
      <c r="H202" s="63">
        <v>176</v>
      </c>
      <c r="I202" s="64" t="s">
        <v>81</v>
      </c>
      <c r="J202" s="63" t="s">
        <v>56</v>
      </c>
      <c r="K202" s="65"/>
      <c r="L202" s="66"/>
      <c r="M202" s="67"/>
      <c r="N202" s="67"/>
      <c r="O202" s="67"/>
      <c r="P202" s="68"/>
      <c r="Q202" s="67"/>
      <c r="R202" s="67"/>
      <c r="S202" s="69"/>
      <c r="T202" s="69"/>
      <c r="U202" s="69"/>
      <c r="V202" s="69"/>
      <c r="W202" s="69"/>
      <c r="X202" s="69"/>
      <c r="Y202" s="69"/>
      <c r="Z202" s="69"/>
      <c r="AA202" s="69"/>
      <c r="AB202" s="70"/>
      <c r="AC202" s="69"/>
      <c r="AD202" s="69"/>
      <c r="AE202" s="71"/>
      <c r="AF202" s="69"/>
    </row>
    <row r="203" s="3" customFormat="1" ht="15" customHeight="1" spans="1:46">
      <c r="A203" s="60">
        <v>178</v>
      </c>
      <c r="B203" s="61" t="s">
        <v>447</v>
      </c>
      <c r="C203" s="61" t="s">
        <v>448</v>
      </c>
      <c r="D203" s="61" t="s">
        <v>67</v>
      </c>
      <c r="E203" s="62">
        <v>36361</v>
      </c>
      <c r="F203" s="61">
        <v>10025</v>
      </c>
      <c r="G203" s="61" t="s">
        <v>53</v>
      </c>
      <c r="H203" s="63" t="s">
        <v>54</v>
      </c>
      <c r="I203" s="64" t="s">
        <v>53</v>
      </c>
      <c r="J203" s="63" t="s">
        <v>56</v>
      </c>
      <c r="K203" s="65" t="s">
        <v>82</v>
      </c>
      <c r="L203" s="66">
        <v>781.79</v>
      </c>
      <c r="M203" s="67" t="s">
        <v>53</v>
      </c>
      <c r="N203" s="67" t="s">
        <v>59</v>
      </c>
      <c r="O203" s="67">
        <v>42.39</v>
      </c>
      <c r="P203" s="68" t="s">
        <v>53</v>
      </c>
      <c r="Q203" s="67" t="s">
        <v>60</v>
      </c>
      <c r="R203" s="67">
        <v>8.22</v>
      </c>
      <c r="S203" s="69" t="s">
        <v>61</v>
      </c>
      <c r="T203" s="69">
        <v>128000</v>
      </c>
      <c r="U203" s="69"/>
      <c r="V203" s="69" t="s">
        <v>62</v>
      </c>
      <c r="W203" s="69">
        <v>3555.73</v>
      </c>
      <c r="X203" s="69"/>
      <c r="Y203" s="69" t="s">
        <v>63</v>
      </c>
      <c r="Z203" s="69">
        <v>738</v>
      </c>
      <c r="AA203" s="69"/>
      <c r="AB203" s="70"/>
      <c r="AC203" s="69" t="s">
        <v>165</v>
      </c>
      <c r="AD203" s="69"/>
      <c r="AE203" s="71">
        <v>65920</v>
      </c>
      <c r="AF203" s="69"/>
      <c r="AG203" s="3" t="str">
        <f>B203&amp;C203</f>
        <v>GabrielHeinemann</v>
      </c>
      <c r="AH203" s="3" t="str">
        <f>VLOOKUP($AG203,[1]Sheet8!$B:$G,1,0)</f>
        <v>GABRIELHEINEMANN</v>
      </c>
      <c r="AI203" s="3" t="str">
        <f>VLOOKUP($AG203,[1]Sheet8!$B:$G,4,0)</f>
        <v>EE</v>
      </c>
      <c r="AJ203" s="3" t="str">
        <f>VLOOKUP($AG203,[1]Sheet8!$B:$G,5,0)</f>
        <v>L093530003</v>
      </c>
      <c r="AK203" s="3">
        <f>VLOOKUP($AG203,[1]Sheet8!$B:$G,6,0)</f>
        <v>8.22</v>
      </c>
      <c r="AL203" s="3" t="s">
        <v>53</v>
      </c>
      <c r="AM203" s="3" t="s">
        <v>82</v>
      </c>
      <c r="AN203" s="3">
        <v>781.79</v>
      </c>
      <c r="AO203" s="3" t="s">
        <v>53</v>
      </c>
      <c r="AP203" s="3" t="s">
        <v>59</v>
      </c>
      <c r="AQ203" s="3">
        <v>42.39</v>
      </c>
      <c r="AR203" s="3" t="s">
        <v>53</v>
      </c>
      <c r="AS203" s="3" t="s">
        <v>60</v>
      </c>
      <c r="AT203" s="3">
        <v>8.22</v>
      </c>
    </row>
    <row r="204" s="3" customFormat="1" ht="15" customHeight="1" spans="1:46">
      <c r="A204" s="60">
        <v>179</v>
      </c>
      <c r="B204" s="61" t="s">
        <v>449</v>
      </c>
      <c r="C204" s="61" t="s">
        <v>450</v>
      </c>
      <c r="D204" s="61" t="s">
        <v>52</v>
      </c>
      <c r="E204" s="62">
        <v>23064</v>
      </c>
      <c r="F204" s="61">
        <v>97225</v>
      </c>
      <c r="G204" s="61" t="s">
        <v>53</v>
      </c>
      <c r="H204" s="63" t="s">
        <v>54</v>
      </c>
      <c r="I204" s="64" t="s">
        <v>53</v>
      </c>
      <c r="J204" s="63" t="s">
        <v>56</v>
      </c>
      <c r="K204" s="65" t="s">
        <v>57</v>
      </c>
      <c r="L204" s="66">
        <v>1235.83</v>
      </c>
      <c r="M204" s="67" t="s">
        <v>53</v>
      </c>
      <c r="N204" s="67" t="s">
        <v>59</v>
      </c>
      <c r="O204" s="67">
        <v>42.39</v>
      </c>
      <c r="P204" s="68" t="s">
        <v>53</v>
      </c>
      <c r="Q204" s="67" t="s">
        <v>60</v>
      </c>
      <c r="R204" s="67">
        <v>8.22</v>
      </c>
      <c r="S204" s="69" t="s">
        <v>61</v>
      </c>
      <c r="T204" s="69">
        <v>226000</v>
      </c>
      <c r="U204" s="69"/>
      <c r="V204" s="69" t="s">
        <v>62</v>
      </c>
      <c r="W204" s="69">
        <v>6258.31</v>
      </c>
      <c r="X204" s="69"/>
      <c r="Y204" s="69" t="s">
        <v>63</v>
      </c>
      <c r="Z204" s="69">
        <v>1300</v>
      </c>
      <c r="AA204" s="69"/>
      <c r="AB204" s="70"/>
      <c r="AC204" s="69" t="s">
        <v>64</v>
      </c>
      <c r="AD204" s="69"/>
      <c r="AE204" s="71">
        <v>116023</v>
      </c>
      <c r="AF204" s="69"/>
      <c r="AG204" s="3" t="str">
        <f>B204&amp;C204</f>
        <v>KellieHelm</v>
      </c>
      <c r="AH204" s="3" t="str">
        <f>VLOOKUP($AG204,[1]Sheet8!$B:$G,1,0)</f>
        <v>KELLIEHELM</v>
      </c>
      <c r="AI204" s="3" t="str">
        <f>VLOOKUP($AG204,[1]Sheet8!$B:$G,4,0)</f>
        <v>EE</v>
      </c>
      <c r="AJ204" s="3" t="str">
        <f>VLOOKUP($AG204,[1]Sheet8!$B:$G,5,0)</f>
        <v>L093530003</v>
      </c>
      <c r="AK204" s="3">
        <f>VLOOKUP($AG204,[1]Sheet8!$B:$G,6,0)</f>
        <v>8.22</v>
      </c>
      <c r="AL204" s="3" t="s">
        <v>53</v>
      </c>
      <c r="AM204" s="3" t="s">
        <v>57</v>
      </c>
      <c r="AN204" s="3">
        <v>1235.83</v>
      </c>
      <c r="AO204" s="3" t="s">
        <v>53</v>
      </c>
      <c r="AP204" s="3" t="s">
        <v>59</v>
      </c>
      <c r="AQ204" s="3">
        <v>42.39</v>
      </c>
      <c r="AR204" s="3" t="s">
        <v>53</v>
      </c>
      <c r="AS204" s="3" t="s">
        <v>60</v>
      </c>
      <c r="AT204" s="3">
        <v>8.22</v>
      </c>
    </row>
    <row r="205" s="3" customFormat="1" ht="15" customHeight="1" spans="1:46">
      <c r="A205" s="60">
        <v>180</v>
      </c>
      <c r="B205" s="61" t="s">
        <v>451</v>
      </c>
      <c r="C205" s="61" t="s">
        <v>452</v>
      </c>
      <c r="D205" s="61" t="s">
        <v>52</v>
      </c>
      <c r="E205" s="62">
        <v>29843</v>
      </c>
      <c r="F205" s="61">
        <v>33710</v>
      </c>
      <c r="G205" s="61" t="s">
        <v>53</v>
      </c>
      <c r="H205" s="63" t="s">
        <v>54</v>
      </c>
      <c r="I205" s="64" t="s">
        <v>53</v>
      </c>
      <c r="J205" s="63" t="s">
        <v>56</v>
      </c>
      <c r="K205" s="65" t="s">
        <v>57</v>
      </c>
      <c r="L205" s="66">
        <v>1235.83</v>
      </c>
      <c r="M205" s="67" t="s">
        <v>53</v>
      </c>
      <c r="N205" s="67" t="s">
        <v>59</v>
      </c>
      <c r="O205" s="67">
        <v>42.39</v>
      </c>
      <c r="P205" s="68" t="s">
        <v>53</v>
      </c>
      <c r="Q205" s="67" t="s">
        <v>60</v>
      </c>
      <c r="R205" s="67">
        <v>8.22</v>
      </c>
      <c r="S205" s="69" t="s">
        <v>61</v>
      </c>
      <c r="T205" s="69">
        <v>197000</v>
      </c>
      <c r="U205" s="69"/>
      <c r="V205" s="69" t="s">
        <v>62</v>
      </c>
      <c r="W205" s="69">
        <v>5463.38</v>
      </c>
      <c r="X205" s="69"/>
      <c r="Y205" s="69" t="s">
        <v>63</v>
      </c>
      <c r="Z205" s="69">
        <v>1135</v>
      </c>
      <c r="AA205" s="69"/>
      <c r="AB205" s="70"/>
      <c r="AC205" s="69" t="s">
        <v>141</v>
      </c>
      <c r="AD205" s="69"/>
      <c r="AE205" s="71">
        <v>99320</v>
      </c>
      <c r="AF205" s="69"/>
      <c r="AG205" s="3" t="str">
        <f>B205&amp;C205</f>
        <v>KemblyHenderson</v>
      </c>
      <c r="AH205" s="3" t="str">
        <f>VLOOKUP($AG205,[1]Sheet8!$B:$G,1,0)</f>
        <v>KEMBLYHENDERSON</v>
      </c>
      <c r="AI205" s="3" t="str">
        <f>VLOOKUP($AG205,[1]Sheet8!$B:$G,4,0)</f>
        <v>EE</v>
      </c>
      <c r="AJ205" s="3" t="str">
        <f>VLOOKUP($AG205,[1]Sheet8!$B:$G,5,0)</f>
        <v>L093530003</v>
      </c>
      <c r="AK205" s="3">
        <f>VLOOKUP($AG205,[1]Sheet8!$B:$G,6,0)</f>
        <v>8.22</v>
      </c>
      <c r="AL205" s="3" t="s">
        <v>53</v>
      </c>
      <c r="AM205" s="3" t="s">
        <v>57</v>
      </c>
      <c r="AN205" s="3">
        <v>1235.83</v>
      </c>
      <c r="AO205" s="3" t="s">
        <v>53</v>
      </c>
      <c r="AP205" s="3" t="s">
        <v>59</v>
      </c>
      <c r="AQ205" s="3">
        <v>42.39</v>
      </c>
      <c r="AR205" s="3" t="s">
        <v>53</v>
      </c>
      <c r="AS205" s="3" t="s">
        <v>60</v>
      </c>
      <c r="AT205" s="3">
        <v>8.22</v>
      </c>
    </row>
    <row r="206" s="3" customFormat="1" ht="15" customHeight="1" spans="1:46">
      <c r="A206" s="60">
        <v>181</v>
      </c>
      <c r="B206" s="61" t="s">
        <v>181</v>
      </c>
      <c r="C206" s="61" t="s">
        <v>452</v>
      </c>
      <c r="D206" s="61" t="s">
        <v>67</v>
      </c>
      <c r="E206" s="62">
        <v>31776</v>
      </c>
      <c r="F206" s="61">
        <v>18940</v>
      </c>
      <c r="G206" s="61" t="s">
        <v>53</v>
      </c>
      <c r="H206" s="63" t="s">
        <v>54</v>
      </c>
      <c r="I206" s="64" t="s">
        <v>53</v>
      </c>
      <c r="J206" s="63" t="s">
        <v>56</v>
      </c>
      <c r="K206" s="65" t="s">
        <v>57</v>
      </c>
      <c r="L206" s="66">
        <v>1235.83</v>
      </c>
      <c r="M206" s="67"/>
      <c r="N206" s="67"/>
      <c r="O206" s="67"/>
      <c r="P206" s="68" t="s">
        <v>53</v>
      </c>
      <c r="Q206" s="67" t="s">
        <v>60</v>
      </c>
      <c r="R206" s="67">
        <v>8.22</v>
      </c>
      <c r="S206" s="69" t="s">
        <v>61</v>
      </c>
      <c r="T206" s="69">
        <v>250000</v>
      </c>
      <c r="U206" s="69"/>
      <c r="V206" s="69" t="s">
        <v>62</v>
      </c>
      <c r="W206" s="69">
        <v>7158.91</v>
      </c>
      <c r="X206" s="69"/>
      <c r="Y206" s="69" t="s">
        <v>63</v>
      </c>
      <c r="Z206" s="69">
        <v>1487</v>
      </c>
      <c r="AA206" s="69"/>
      <c r="AB206" s="70"/>
      <c r="AC206" s="69" t="s">
        <v>423</v>
      </c>
      <c r="AD206" s="69"/>
      <c r="AE206" s="71">
        <v>132720</v>
      </c>
      <c r="AF206" s="69"/>
      <c r="AG206" s="3" t="str">
        <f>B206&amp;C206</f>
        <v>RyanHenderson</v>
      </c>
      <c r="AH206" s="3" t="str">
        <f>VLOOKUP($AG206,[1]Sheet8!$B:$G,1,0)</f>
        <v>RYANHENDERSON</v>
      </c>
      <c r="AI206" s="3" t="str">
        <f>VLOOKUP($AG206,[1]Sheet8!$B:$G,4,0)</f>
        <v>EE</v>
      </c>
      <c r="AJ206" s="3" t="str">
        <f>VLOOKUP($AG206,[1]Sheet8!$B:$G,5,0)</f>
        <v>L093530003</v>
      </c>
      <c r="AK206" s="3">
        <f>VLOOKUP($AG206,[1]Sheet8!$B:$G,6,0)</f>
        <v>8.22</v>
      </c>
      <c r="AL206" s="3" t="s">
        <v>53</v>
      </c>
      <c r="AM206" s="3" t="s">
        <v>57</v>
      </c>
      <c r="AN206" s="3">
        <v>1235.83</v>
      </c>
      <c r="AR206" s="3" t="s">
        <v>53</v>
      </c>
      <c r="AS206" s="3" t="s">
        <v>60</v>
      </c>
      <c r="AT206" s="3">
        <v>8.22</v>
      </c>
    </row>
    <row r="207" s="3" customFormat="1" ht="15" customHeight="1" spans="1:46">
      <c r="A207" s="60">
        <v>182</v>
      </c>
      <c r="B207" s="61" t="s">
        <v>453</v>
      </c>
      <c r="C207" s="61" t="s">
        <v>454</v>
      </c>
      <c r="D207" s="61" t="s">
        <v>67</v>
      </c>
      <c r="E207" s="62">
        <v>28782</v>
      </c>
      <c r="F207" s="61">
        <v>46748</v>
      </c>
      <c r="G207" s="61" t="s">
        <v>53</v>
      </c>
      <c r="H207" s="63" t="s">
        <v>54</v>
      </c>
      <c r="I207" s="64" t="s">
        <v>58</v>
      </c>
      <c r="J207" s="63" t="s">
        <v>56</v>
      </c>
      <c r="K207" s="65" t="s">
        <v>57</v>
      </c>
      <c r="L207" s="66">
        <v>3831.06</v>
      </c>
      <c r="M207" s="67" t="s">
        <v>58</v>
      </c>
      <c r="N207" s="67" t="s">
        <v>59</v>
      </c>
      <c r="O207" s="67">
        <v>147.1</v>
      </c>
      <c r="P207" s="68" t="s">
        <v>58</v>
      </c>
      <c r="Q207" s="67" t="s">
        <v>60</v>
      </c>
      <c r="R207" s="67">
        <v>23</v>
      </c>
      <c r="S207" s="69" t="s">
        <v>61</v>
      </c>
      <c r="T207" s="69">
        <v>250000</v>
      </c>
      <c r="U207" s="69"/>
      <c r="V207" s="69" t="s">
        <v>62</v>
      </c>
      <c r="W207" s="69">
        <v>10000</v>
      </c>
      <c r="X207" s="69"/>
      <c r="Y207" s="69" t="s">
        <v>63</v>
      </c>
      <c r="Z207" s="69">
        <v>2000</v>
      </c>
      <c r="AA207" s="69"/>
      <c r="AB207" s="70"/>
      <c r="AC207" s="69" t="s">
        <v>162</v>
      </c>
      <c r="AD207" s="69"/>
      <c r="AE207" s="71">
        <v>222480</v>
      </c>
      <c r="AF207" s="69"/>
      <c r="AG207" s="3" t="str">
        <f>B207&amp;C207</f>
        <v>JonathanHering</v>
      </c>
      <c r="AH207" s="3" t="str">
        <f>VLOOKUP($AG207,[1]Sheet8!$B:$G,1,0)</f>
        <v>JONATHANHERING</v>
      </c>
      <c r="AI207" s="3" t="str">
        <f>VLOOKUP($AG207,[1]Sheet8!$B:$G,4,0)</f>
        <v>FAM</v>
      </c>
      <c r="AJ207" s="3" t="str">
        <f>VLOOKUP($AG207,[1]Sheet8!$B:$G,5,0)</f>
        <v>L093530003</v>
      </c>
      <c r="AK207" s="3">
        <f>VLOOKUP($AG207,[1]Sheet8!$B:$G,6,0)</f>
        <v>23</v>
      </c>
      <c r="AL207" s="3" t="s">
        <v>58</v>
      </c>
      <c r="AM207" s="3" t="s">
        <v>57</v>
      </c>
      <c r="AN207" s="3">
        <v>3831.06</v>
      </c>
      <c r="AO207" s="3" t="s">
        <v>58</v>
      </c>
      <c r="AP207" s="3" t="s">
        <v>59</v>
      </c>
      <c r="AQ207" s="3">
        <v>147.1</v>
      </c>
      <c r="AR207" s="3" t="s">
        <v>58</v>
      </c>
      <c r="AS207" s="3" t="s">
        <v>60</v>
      </c>
      <c r="AT207" s="3">
        <v>23</v>
      </c>
    </row>
    <row r="208" s="3" customFormat="1" ht="15" customHeight="1" spans="1:46">
      <c r="A208" s="60">
        <v>183</v>
      </c>
      <c r="B208" s="61" t="s">
        <v>455</v>
      </c>
      <c r="C208" s="61" t="s">
        <v>454</v>
      </c>
      <c r="D208" s="61" t="s">
        <v>67</v>
      </c>
      <c r="E208" s="62">
        <v>38557</v>
      </c>
      <c r="F208" s="61">
        <v>46748</v>
      </c>
      <c r="G208" s="61" t="s">
        <v>68</v>
      </c>
      <c r="H208" s="63">
        <v>182</v>
      </c>
      <c r="I208" s="64" t="s">
        <v>58</v>
      </c>
      <c r="J208" s="63" t="s">
        <v>56</v>
      </c>
      <c r="K208" s="65"/>
      <c r="L208" s="66"/>
      <c r="M208" s="67"/>
      <c r="N208" s="67"/>
      <c r="O208" s="67"/>
      <c r="P208" s="68"/>
      <c r="Q208" s="67"/>
      <c r="R208" s="67"/>
      <c r="S208" s="69"/>
      <c r="T208" s="69"/>
      <c r="U208" s="69"/>
      <c r="V208" s="69"/>
      <c r="W208" s="69"/>
      <c r="X208" s="69"/>
      <c r="Y208" s="69"/>
      <c r="Z208" s="69"/>
      <c r="AA208" s="69"/>
      <c r="AB208" s="70"/>
      <c r="AC208" s="69"/>
      <c r="AD208" s="69"/>
      <c r="AE208" s="71"/>
      <c r="AF208" s="69"/>
    </row>
    <row r="209" s="3" customFormat="1" ht="15" customHeight="1" spans="1:46">
      <c r="A209" s="60">
        <v>184</v>
      </c>
      <c r="B209" s="61" t="s">
        <v>456</v>
      </c>
      <c r="C209" s="61" t="s">
        <v>454</v>
      </c>
      <c r="D209" s="61" t="s">
        <v>52</v>
      </c>
      <c r="E209" s="62">
        <v>29073</v>
      </c>
      <c r="F209" s="61">
        <v>46748</v>
      </c>
      <c r="G209" s="61" t="s">
        <v>85</v>
      </c>
      <c r="H209" s="63">
        <v>182</v>
      </c>
      <c r="I209" s="64" t="s">
        <v>58</v>
      </c>
      <c r="J209" s="63" t="s">
        <v>56</v>
      </c>
      <c r="K209" s="65"/>
      <c r="L209" s="66"/>
      <c r="M209" s="67"/>
      <c r="N209" s="67"/>
      <c r="O209" s="67"/>
      <c r="P209" s="68"/>
      <c r="Q209" s="67"/>
      <c r="R209" s="67"/>
      <c r="S209" s="69"/>
      <c r="T209" s="69"/>
      <c r="U209" s="69"/>
      <c r="V209" s="69"/>
      <c r="W209" s="69"/>
      <c r="X209" s="69"/>
      <c r="Y209" s="69"/>
      <c r="Z209" s="69"/>
      <c r="AA209" s="69"/>
      <c r="AB209" s="70"/>
      <c r="AC209" s="69"/>
      <c r="AD209" s="69"/>
      <c r="AE209" s="71"/>
      <c r="AF209" s="69"/>
    </row>
    <row r="210" s="3" customFormat="1" ht="15" customHeight="1" spans="1:46">
      <c r="A210" s="60">
        <v>185</v>
      </c>
      <c r="B210" s="61" t="s">
        <v>457</v>
      </c>
      <c r="C210" s="61" t="s">
        <v>454</v>
      </c>
      <c r="D210" s="61" t="s">
        <v>52</v>
      </c>
      <c r="E210" s="62">
        <v>40321</v>
      </c>
      <c r="F210" s="61">
        <v>46748</v>
      </c>
      <c r="G210" s="61" t="s">
        <v>68</v>
      </c>
      <c r="H210" s="63">
        <v>182</v>
      </c>
      <c r="I210" s="64" t="s">
        <v>58</v>
      </c>
      <c r="J210" s="63" t="s">
        <v>56</v>
      </c>
      <c r="K210" s="65"/>
      <c r="L210" s="66"/>
      <c r="M210" s="67"/>
      <c r="N210" s="67"/>
      <c r="O210" s="67"/>
      <c r="P210" s="68"/>
      <c r="Q210" s="67"/>
      <c r="R210" s="67"/>
      <c r="S210" s="69"/>
      <c r="T210" s="69"/>
      <c r="U210" s="69"/>
      <c r="V210" s="69"/>
      <c r="W210" s="69"/>
      <c r="X210" s="69"/>
      <c r="Y210" s="69"/>
      <c r="Z210" s="69"/>
      <c r="AA210" s="69"/>
      <c r="AB210" s="70"/>
      <c r="AC210" s="69"/>
      <c r="AD210" s="69"/>
      <c r="AE210" s="71"/>
      <c r="AF210" s="69"/>
    </row>
    <row r="211" s="3" customFormat="1" ht="15" customHeight="1" spans="1:46">
      <c r="A211" s="60">
        <v>186</v>
      </c>
      <c r="B211" s="61" t="s">
        <v>458</v>
      </c>
      <c r="C211" s="61" t="s">
        <v>454</v>
      </c>
      <c r="D211" s="61" t="s">
        <v>67</v>
      </c>
      <c r="E211" s="62">
        <v>39404</v>
      </c>
      <c r="F211" s="61">
        <v>46748</v>
      </c>
      <c r="G211" s="61" t="s">
        <v>68</v>
      </c>
      <c r="H211" s="63">
        <v>182</v>
      </c>
      <c r="I211" s="64" t="s">
        <v>58</v>
      </c>
      <c r="J211" s="63" t="s">
        <v>56</v>
      </c>
      <c r="K211" s="65"/>
      <c r="L211" s="66"/>
      <c r="M211" s="67"/>
      <c r="N211" s="67"/>
      <c r="O211" s="67"/>
      <c r="P211" s="68"/>
      <c r="Q211" s="67"/>
      <c r="R211" s="67"/>
      <c r="S211" s="69"/>
      <c r="T211" s="69"/>
      <c r="U211" s="69"/>
      <c r="V211" s="69"/>
      <c r="W211" s="69"/>
      <c r="X211" s="69"/>
      <c r="Y211" s="69"/>
      <c r="Z211" s="69"/>
      <c r="AA211" s="69"/>
      <c r="AB211" s="70"/>
      <c r="AC211" s="69"/>
      <c r="AD211" s="69"/>
      <c r="AE211" s="71"/>
      <c r="AF211" s="69"/>
    </row>
    <row r="212" s="3" customFormat="1" ht="15" customHeight="1" spans="1:46">
      <c r="A212" s="60">
        <v>187</v>
      </c>
      <c r="B212" s="61" t="s">
        <v>93</v>
      </c>
      <c r="C212" s="61" t="s">
        <v>459</v>
      </c>
      <c r="D212" s="61" t="s">
        <v>52</v>
      </c>
      <c r="E212" s="62">
        <v>35285</v>
      </c>
      <c r="F212" s="61">
        <v>94583</v>
      </c>
      <c r="G212" s="61" t="s">
        <v>53</v>
      </c>
      <c r="H212" s="63" t="s">
        <v>54</v>
      </c>
      <c r="I212" s="64" t="s">
        <v>55</v>
      </c>
      <c r="J212" s="63" t="s">
        <v>56</v>
      </c>
      <c r="K212" s="65" t="s">
        <v>57</v>
      </c>
      <c r="L212" s="66">
        <v>2224.48</v>
      </c>
      <c r="M212" s="67" t="s">
        <v>81</v>
      </c>
      <c r="N212" s="67" t="s">
        <v>59</v>
      </c>
      <c r="O212" s="67">
        <v>84.72</v>
      </c>
      <c r="P212" s="68" t="s">
        <v>55</v>
      </c>
      <c r="Q212" s="67" t="s">
        <v>60</v>
      </c>
      <c r="R212" s="67">
        <v>13.95</v>
      </c>
      <c r="S212" s="69" t="s">
        <v>61</v>
      </c>
      <c r="T212" s="69">
        <v>226000</v>
      </c>
      <c r="U212" s="69"/>
      <c r="V212" s="69" t="s">
        <v>62</v>
      </c>
      <c r="W212" s="69">
        <v>6266.04</v>
      </c>
      <c r="X212" s="69"/>
      <c r="Y212" s="69" t="s">
        <v>63</v>
      </c>
      <c r="Z212" s="69">
        <v>1301</v>
      </c>
      <c r="AA212" s="69"/>
      <c r="AB212" s="70"/>
      <c r="AC212" s="69" t="s">
        <v>460</v>
      </c>
      <c r="AD212" s="69"/>
      <c r="AE212" s="71">
        <v>123137.02</v>
      </c>
      <c r="AF212" s="69"/>
      <c r="AG212" s="3" t="str">
        <f>B212&amp;C212</f>
        <v>SarahHigdon</v>
      </c>
      <c r="AH212" s="3" t="str">
        <f>VLOOKUP($AG212,[1]Sheet8!$B:$G,1,0)</f>
        <v>SARAHHIGDON</v>
      </c>
      <c r="AI212" s="3" t="str">
        <f>VLOOKUP($AG212,[1]Sheet8!$B:$G,4,0)</f>
        <v>EC</v>
      </c>
      <c r="AJ212" s="3" t="str">
        <f>VLOOKUP($AG212,[1]Sheet8!$B:$G,5,0)</f>
        <v>L093530003</v>
      </c>
      <c r="AK212" s="3">
        <f>VLOOKUP($AG212,[1]Sheet8!$B:$G,6,0)</f>
        <v>13.95</v>
      </c>
      <c r="AL212" s="3" t="s">
        <v>55</v>
      </c>
      <c r="AM212" s="3" t="s">
        <v>57</v>
      </c>
      <c r="AN212" s="3">
        <v>2224.48</v>
      </c>
      <c r="AO212" s="3" t="s">
        <v>81</v>
      </c>
      <c r="AP212" s="3" t="s">
        <v>59</v>
      </c>
      <c r="AQ212" s="3">
        <v>84.72</v>
      </c>
      <c r="AR212" s="3" t="s">
        <v>55</v>
      </c>
      <c r="AS212" s="3" t="s">
        <v>60</v>
      </c>
      <c r="AT212" s="3">
        <v>13.95</v>
      </c>
    </row>
    <row r="213" s="3" customFormat="1" ht="15" customHeight="1" spans="1:46">
      <c r="A213" s="60">
        <v>188</v>
      </c>
      <c r="B213" s="61" t="s">
        <v>461</v>
      </c>
      <c r="C213" s="61" t="s">
        <v>462</v>
      </c>
      <c r="D213" s="61" t="s">
        <v>52</v>
      </c>
      <c r="E213" s="62">
        <v>46110</v>
      </c>
      <c r="F213" s="61">
        <v>94583</v>
      </c>
      <c r="G213" s="61" t="s">
        <v>68</v>
      </c>
      <c r="H213" s="63">
        <v>187</v>
      </c>
      <c r="I213" s="64" t="s">
        <v>55</v>
      </c>
      <c r="J213" s="63" t="s">
        <v>56</v>
      </c>
      <c r="K213" s="65"/>
      <c r="L213" s="66"/>
      <c r="M213" s="67"/>
      <c r="N213" s="67"/>
      <c r="O213" s="67"/>
      <c r="P213" s="68"/>
      <c r="Q213" s="67"/>
      <c r="R213" s="67"/>
      <c r="S213" s="69"/>
      <c r="T213" s="69"/>
      <c r="U213" s="69"/>
      <c r="V213" s="69"/>
      <c r="W213" s="69"/>
      <c r="X213" s="69"/>
      <c r="Y213" s="69"/>
      <c r="Z213" s="69"/>
      <c r="AA213" s="69"/>
      <c r="AB213" s="70"/>
      <c r="AC213" s="69"/>
      <c r="AD213" s="69"/>
      <c r="AE213" s="71"/>
      <c r="AF213" s="69"/>
    </row>
    <row r="214" s="3" customFormat="1" ht="15" customHeight="1" spans="1:46">
      <c r="A214" s="60">
        <v>189</v>
      </c>
      <c r="B214" s="61" t="s">
        <v>463</v>
      </c>
      <c r="C214" s="61" t="s">
        <v>464</v>
      </c>
      <c r="D214" s="61" t="s">
        <v>67</v>
      </c>
      <c r="E214" s="62">
        <v>36970</v>
      </c>
      <c r="F214" s="61">
        <v>98027</v>
      </c>
      <c r="G214" s="61" t="s">
        <v>53</v>
      </c>
      <c r="H214" s="63" t="s">
        <v>54</v>
      </c>
      <c r="I214" s="64" t="s">
        <v>53</v>
      </c>
      <c r="J214" s="63" t="s">
        <v>56</v>
      </c>
      <c r="K214" s="65" t="s">
        <v>82</v>
      </c>
      <c r="L214" s="66">
        <v>781.79</v>
      </c>
      <c r="M214" s="67" t="s">
        <v>53</v>
      </c>
      <c r="N214" s="67" t="s">
        <v>59</v>
      </c>
      <c r="O214" s="67">
        <v>42.39</v>
      </c>
      <c r="P214" s="68" t="s">
        <v>53</v>
      </c>
      <c r="Q214" s="67" t="s">
        <v>60</v>
      </c>
      <c r="R214" s="67">
        <v>8.22</v>
      </c>
      <c r="S214" s="69" t="s">
        <v>61</v>
      </c>
      <c r="T214" s="69">
        <v>141000</v>
      </c>
      <c r="U214" s="69"/>
      <c r="V214" s="69" t="s">
        <v>62</v>
      </c>
      <c r="W214" s="69">
        <v>3903.75</v>
      </c>
      <c r="X214" s="69"/>
      <c r="Y214" s="69" t="s">
        <v>63</v>
      </c>
      <c r="Z214" s="69">
        <v>811</v>
      </c>
      <c r="AA214" s="69"/>
      <c r="AB214" s="70"/>
      <c r="AC214" s="69" t="s">
        <v>416</v>
      </c>
      <c r="AD214" s="69"/>
      <c r="AE214" s="71">
        <v>71318</v>
      </c>
      <c r="AF214" s="69"/>
      <c r="AG214" s="3" t="str">
        <f t="shared" ref="AG214:AG220" si="7">B214&amp;C214</f>
        <v>JackHiggins</v>
      </c>
      <c r="AH214" s="3" t="str">
        <f>VLOOKUP($AG214,[1]Sheet8!$B:$G,1,0)</f>
        <v>JACKHIGGINS</v>
      </c>
      <c r="AI214" s="3" t="str">
        <f>VLOOKUP($AG214,[1]Sheet8!$B:$G,4,0)</f>
        <v>EE</v>
      </c>
      <c r="AJ214" s="3" t="str">
        <f>VLOOKUP($AG214,[1]Sheet8!$B:$G,5,0)</f>
        <v>L093530003</v>
      </c>
      <c r="AK214" s="3">
        <f>VLOOKUP($AG214,[1]Sheet8!$B:$G,6,0)</f>
        <v>8.22</v>
      </c>
      <c r="AL214" s="3" t="s">
        <v>53</v>
      </c>
      <c r="AM214" s="3" t="s">
        <v>82</v>
      </c>
      <c r="AN214" s="3">
        <v>781.79</v>
      </c>
      <c r="AO214" s="3" t="s">
        <v>53</v>
      </c>
      <c r="AP214" s="3" t="s">
        <v>59</v>
      </c>
      <c r="AQ214" s="3">
        <v>42.39</v>
      </c>
      <c r="AR214" s="3" t="s">
        <v>53</v>
      </c>
      <c r="AS214" s="3" t="s">
        <v>60</v>
      </c>
      <c r="AT214" s="3">
        <v>8.22</v>
      </c>
    </row>
    <row r="215" s="3" customFormat="1" ht="15" customHeight="1" spans="1:46">
      <c r="A215" s="60">
        <v>190</v>
      </c>
      <c r="B215" s="61" t="s">
        <v>465</v>
      </c>
      <c r="C215" s="61" t="s">
        <v>466</v>
      </c>
      <c r="D215" s="61" t="s">
        <v>67</v>
      </c>
      <c r="E215" s="62">
        <v>22953</v>
      </c>
      <c r="F215" s="61">
        <v>49426</v>
      </c>
      <c r="G215" s="61" t="s">
        <v>53</v>
      </c>
      <c r="H215" s="63" t="s">
        <v>54</v>
      </c>
      <c r="I215" s="64" t="s">
        <v>53</v>
      </c>
      <c r="J215" s="63" t="s">
        <v>56</v>
      </c>
      <c r="K215" s="65" t="s">
        <v>57</v>
      </c>
      <c r="L215" s="66">
        <v>1235.83</v>
      </c>
      <c r="M215" s="67" t="s">
        <v>81</v>
      </c>
      <c r="N215" s="67" t="s">
        <v>59</v>
      </c>
      <c r="O215" s="67">
        <v>84.72</v>
      </c>
      <c r="P215" s="68" t="s">
        <v>81</v>
      </c>
      <c r="Q215" s="67" t="s">
        <v>60</v>
      </c>
      <c r="R215" s="67">
        <v>16.48</v>
      </c>
      <c r="S215" s="69" t="s">
        <v>61</v>
      </c>
      <c r="T215" s="69">
        <v>250000</v>
      </c>
      <c r="U215" s="69"/>
      <c r="V215" s="69" t="s">
        <v>62</v>
      </c>
      <c r="W215" s="69">
        <v>8244.58</v>
      </c>
      <c r="X215" s="69"/>
      <c r="Y215" s="69" t="s">
        <v>63</v>
      </c>
      <c r="Z215" s="69">
        <v>1712</v>
      </c>
      <c r="AA215" s="69"/>
      <c r="AB215" s="70"/>
      <c r="AC215" s="69" t="s">
        <v>95</v>
      </c>
      <c r="AD215" s="69"/>
      <c r="AE215" s="71">
        <v>122277.6</v>
      </c>
      <c r="AF215" s="69"/>
      <c r="AG215" s="3" t="str">
        <f t="shared" si="7"/>
        <v>RandolphHill</v>
      </c>
      <c r="AH215" s="3" t="str">
        <f>VLOOKUP($AG215,[1]Sheet8!$B:$G,1,0)</f>
        <v>RANDOLPHHILL</v>
      </c>
      <c r="AI215" s="3" t="str">
        <f>VLOOKUP($AG215,[1]Sheet8!$B:$G,4,0)</f>
        <v>ES</v>
      </c>
      <c r="AJ215" s="3" t="str">
        <f>VLOOKUP($AG215,[1]Sheet8!$B:$G,5,0)</f>
        <v>L093530003</v>
      </c>
      <c r="AK215" s="3">
        <f>VLOOKUP($AG215,[1]Sheet8!$B:$G,6,0)</f>
        <v>16.48</v>
      </c>
      <c r="AL215" s="3" t="s">
        <v>53</v>
      </c>
      <c r="AM215" s="3" t="s">
        <v>57</v>
      </c>
      <c r="AN215" s="3">
        <v>1235.83</v>
      </c>
      <c r="AO215" s="3" t="s">
        <v>81</v>
      </c>
      <c r="AP215" s="3" t="s">
        <v>59</v>
      </c>
      <c r="AQ215" s="3">
        <v>84.72</v>
      </c>
      <c r="AR215" s="3" t="s">
        <v>81</v>
      </c>
      <c r="AS215" s="3" t="s">
        <v>60</v>
      </c>
      <c r="AT215" s="3">
        <v>16.48</v>
      </c>
    </row>
    <row r="216" s="3" customFormat="1" ht="15" customHeight="1" spans="1:46">
      <c r="A216" s="60">
        <v>191</v>
      </c>
      <c r="B216" s="61" t="s">
        <v>467</v>
      </c>
      <c r="C216" s="61" t="s">
        <v>468</v>
      </c>
      <c r="D216" s="61" t="s">
        <v>52</v>
      </c>
      <c r="E216" s="62">
        <v>27705</v>
      </c>
      <c r="F216" s="61">
        <v>97303</v>
      </c>
      <c r="G216" s="61" t="s">
        <v>53</v>
      </c>
      <c r="H216" s="63" t="s">
        <v>54</v>
      </c>
      <c r="I216" s="64" t="s">
        <v>53</v>
      </c>
      <c r="J216" s="63" t="s">
        <v>56</v>
      </c>
      <c r="K216" s="65" t="s">
        <v>57</v>
      </c>
      <c r="L216" s="66">
        <v>1235.83</v>
      </c>
      <c r="M216" s="67" t="s">
        <v>53</v>
      </c>
      <c r="N216" s="67" t="s">
        <v>59</v>
      </c>
      <c r="O216" s="67">
        <v>42.39</v>
      </c>
      <c r="P216" s="68" t="s">
        <v>53</v>
      </c>
      <c r="Q216" s="67" t="s">
        <v>60</v>
      </c>
      <c r="R216" s="67">
        <v>8.22</v>
      </c>
      <c r="S216" s="69" t="s">
        <v>61</v>
      </c>
      <c r="T216" s="69">
        <v>250000</v>
      </c>
      <c r="U216" s="69"/>
      <c r="V216" s="69" t="s">
        <v>62</v>
      </c>
      <c r="W216" s="69">
        <v>8430.53</v>
      </c>
      <c r="X216" s="69"/>
      <c r="Y216" s="69" t="s">
        <v>63</v>
      </c>
      <c r="Z216" s="69">
        <v>1751</v>
      </c>
      <c r="AA216" s="69"/>
      <c r="AB216" s="70"/>
      <c r="AC216" s="69" t="s">
        <v>89</v>
      </c>
      <c r="AD216" s="69"/>
      <c r="AE216" s="71">
        <v>156294</v>
      </c>
      <c r="AF216" s="69"/>
      <c r="AG216" s="3" t="str">
        <f t="shared" si="7"/>
        <v>KerriHoliman</v>
      </c>
      <c r="AH216" s="3" t="str">
        <f>VLOOKUP($AG216,[1]Sheet8!$B:$G,1,0)</f>
        <v>KERRIHOLIMAN</v>
      </c>
      <c r="AI216" s="3" t="str">
        <f>VLOOKUP($AG216,[1]Sheet8!$B:$G,4,0)</f>
        <v>EE</v>
      </c>
      <c r="AJ216" s="3" t="str">
        <f>VLOOKUP($AG216,[1]Sheet8!$B:$G,5,0)</f>
        <v>L093530003</v>
      </c>
      <c r="AK216" s="3">
        <f>VLOOKUP($AG216,[1]Sheet8!$B:$G,6,0)</f>
        <v>8.22</v>
      </c>
      <c r="AL216" s="3" t="s">
        <v>53</v>
      </c>
      <c r="AM216" s="3" t="s">
        <v>57</v>
      </c>
      <c r="AN216" s="3">
        <v>1235.83</v>
      </c>
      <c r="AO216" s="3" t="s">
        <v>53</v>
      </c>
      <c r="AP216" s="3" t="s">
        <v>59</v>
      </c>
      <c r="AQ216" s="3">
        <v>42.39</v>
      </c>
      <c r="AR216" s="3" t="s">
        <v>53</v>
      </c>
      <c r="AS216" s="3" t="s">
        <v>60</v>
      </c>
      <c r="AT216" s="3">
        <v>8.22</v>
      </c>
    </row>
    <row r="217" s="3" customFormat="1" ht="15" customHeight="1" spans="1:46">
      <c r="A217" s="60">
        <v>192</v>
      </c>
      <c r="B217" s="61" t="s">
        <v>469</v>
      </c>
      <c r="C217" s="61" t="s">
        <v>470</v>
      </c>
      <c r="D217" s="61" t="s">
        <v>67</v>
      </c>
      <c r="E217" s="62">
        <v>36032</v>
      </c>
      <c r="F217" s="61">
        <v>60660</v>
      </c>
      <c r="G217" s="61" t="s">
        <v>53</v>
      </c>
      <c r="H217" s="63" t="s">
        <v>54</v>
      </c>
      <c r="I217" s="64" t="s">
        <v>53</v>
      </c>
      <c r="J217" s="63" t="s">
        <v>56</v>
      </c>
      <c r="K217" s="65" t="s">
        <v>82</v>
      </c>
      <c r="L217" s="66">
        <v>781.79</v>
      </c>
      <c r="M217" s="67" t="s">
        <v>53</v>
      </c>
      <c r="N217" s="67" t="s">
        <v>59</v>
      </c>
      <c r="O217" s="67">
        <v>42.39</v>
      </c>
      <c r="P217" s="68" t="s">
        <v>53</v>
      </c>
      <c r="Q217" s="67" t="s">
        <v>60</v>
      </c>
      <c r="R217" s="67">
        <v>8.22</v>
      </c>
      <c r="S217" s="69" t="s">
        <v>61</v>
      </c>
      <c r="T217" s="69">
        <v>152000</v>
      </c>
      <c r="U217" s="69"/>
      <c r="V217" s="69" t="s">
        <v>62</v>
      </c>
      <c r="W217" s="69">
        <v>4222.43</v>
      </c>
      <c r="X217" s="69"/>
      <c r="Y217" s="69" t="s">
        <v>63</v>
      </c>
      <c r="Z217" s="69">
        <v>877</v>
      </c>
      <c r="AA217" s="69"/>
      <c r="AB217" s="70"/>
      <c r="AC217" s="69" t="s">
        <v>416</v>
      </c>
      <c r="AD217" s="69"/>
      <c r="AE217" s="71">
        <v>77900</v>
      </c>
      <c r="AF217" s="69"/>
      <c r="AG217" s="3" t="str">
        <f t="shared" si="7"/>
        <v>ZacharyHolloway</v>
      </c>
      <c r="AH217" s="3" t="str">
        <f>VLOOKUP($AG217,[1]Sheet8!$B:$G,1,0)</f>
        <v>ZACHARYHOLLOWAY</v>
      </c>
      <c r="AI217" s="3" t="str">
        <f>VLOOKUP($AG217,[1]Sheet8!$B:$G,4,0)</f>
        <v>EE</v>
      </c>
      <c r="AJ217" s="3" t="str">
        <f>VLOOKUP($AG217,[1]Sheet8!$B:$G,5,0)</f>
        <v>L093530003</v>
      </c>
      <c r="AK217" s="3">
        <f>VLOOKUP($AG217,[1]Sheet8!$B:$G,6,0)</f>
        <v>8.22</v>
      </c>
      <c r="AL217" s="3" t="s">
        <v>53</v>
      </c>
      <c r="AM217" s="3" t="s">
        <v>82</v>
      </c>
      <c r="AN217" s="3">
        <v>781.79</v>
      </c>
      <c r="AO217" s="3" t="s">
        <v>53</v>
      </c>
      <c r="AP217" s="3" t="s">
        <v>59</v>
      </c>
      <c r="AQ217" s="3">
        <v>42.39</v>
      </c>
      <c r="AR217" s="3" t="s">
        <v>53</v>
      </c>
      <c r="AS217" s="3" t="s">
        <v>60</v>
      </c>
      <c r="AT217" s="3">
        <v>8.22</v>
      </c>
    </row>
    <row r="218" s="3" customFormat="1" ht="15" customHeight="1" spans="1:46">
      <c r="A218" s="60">
        <v>193</v>
      </c>
      <c r="B218" s="61" t="s">
        <v>471</v>
      </c>
      <c r="C218" s="61" t="s">
        <v>472</v>
      </c>
      <c r="D218" s="61" t="s">
        <v>67</v>
      </c>
      <c r="E218" s="62">
        <v>34801</v>
      </c>
      <c r="F218" s="61">
        <v>60618</v>
      </c>
      <c r="G218" s="61" t="s">
        <v>53</v>
      </c>
      <c r="H218" s="63" t="s">
        <v>54</v>
      </c>
      <c r="I218" s="64" t="s">
        <v>53</v>
      </c>
      <c r="J218" s="63" t="s">
        <v>56</v>
      </c>
      <c r="K218" s="65" t="s">
        <v>82</v>
      </c>
      <c r="L218" s="66">
        <v>781.79</v>
      </c>
      <c r="M218" s="67" t="s">
        <v>53</v>
      </c>
      <c r="N218" s="67" t="s">
        <v>59</v>
      </c>
      <c r="O218" s="67">
        <v>42.39</v>
      </c>
      <c r="P218" s="68" t="s">
        <v>53</v>
      </c>
      <c r="Q218" s="67" t="s">
        <v>60</v>
      </c>
      <c r="R218" s="67">
        <v>8.22</v>
      </c>
      <c r="S218" s="69" t="s">
        <v>61</v>
      </c>
      <c r="T218" s="69">
        <v>250000</v>
      </c>
      <c r="U218" s="69"/>
      <c r="V218" s="69" t="s">
        <v>62</v>
      </c>
      <c r="W218" s="69">
        <v>7497.87</v>
      </c>
      <c r="X218" s="69"/>
      <c r="Y218" s="69" t="s">
        <v>63</v>
      </c>
      <c r="Z218" s="69">
        <v>1557</v>
      </c>
      <c r="AA218" s="69"/>
      <c r="AB218" s="70"/>
      <c r="AC218" s="69" t="s">
        <v>473</v>
      </c>
      <c r="AD218" s="69"/>
      <c r="AE218" s="71">
        <v>139004</v>
      </c>
      <c r="AF218" s="69"/>
      <c r="AG218" s="3" t="str">
        <f t="shared" si="7"/>
        <v>AlexanderHolst</v>
      </c>
      <c r="AH218" s="3" t="str">
        <f>VLOOKUP($AG218,[1]Sheet8!$B:$G,1,0)</f>
        <v>ALEXANDERHOLST</v>
      </c>
      <c r="AI218" s="3" t="str">
        <f>VLOOKUP($AG218,[1]Sheet8!$B:$G,4,0)</f>
        <v>EE</v>
      </c>
      <c r="AJ218" s="3" t="str">
        <f>VLOOKUP($AG218,[1]Sheet8!$B:$G,5,0)</f>
        <v>L093530003</v>
      </c>
      <c r="AK218" s="3">
        <f>VLOOKUP($AG218,[1]Sheet8!$B:$G,6,0)</f>
        <v>8.22</v>
      </c>
      <c r="AL218" s="3" t="s">
        <v>53</v>
      </c>
      <c r="AM218" s="3" t="s">
        <v>82</v>
      </c>
      <c r="AN218" s="3">
        <v>781.79</v>
      </c>
      <c r="AO218" s="3" t="s">
        <v>53</v>
      </c>
      <c r="AP218" s="3" t="s">
        <v>59</v>
      </c>
      <c r="AQ218" s="3">
        <v>42.39</v>
      </c>
      <c r="AR218" s="3" t="s">
        <v>53</v>
      </c>
      <c r="AS218" s="3" t="s">
        <v>60</v>
      </c>
      <c r="AT218" s="3">
        <v>8.22</v>
      </c>
    </row>
    <row r="219" s="3" customFormat="1" ht="15" customHeight="1" spans="1:46">
      <c r="A219" s="60">
        <v>194</v>
      </c>
      <c r="B219" s="61" t="s">
        <v>474</v>
      </c>
      <c r="C219" s="61" t="s">
        <v>475</v>
      </c>
      <c r="D219" s="61" t="s">
        <v>67</v>
      </c>
      <c r="E219" s="62">
        <v>36522</v>
      </c>
      <c r="F219" s="61">
        <v>97703</v>
      </c>
      <c r="G219" s="61" t="s">
        <v>53</v>
      </c>
      <c r="H219" s="63" t="s">
        <v>54</v>
      </c>
      <c r="I219" s="64" t="s">
        <v>53</v>
      </c>
      <c r="J219" s="63" t="s">
        <v>56</v>
      </c>
      <c r="K219" s="65" t="s">
        <v>57</v>
      </c>
      <c r="L219" s="66">
        <v>1235.83</v>
      </c>
      <c r="M219" s="67" t="s">
        <v>53</v>
      </c>
      <c r="N219" s="67" t="s">
        <v>59</v>
      </c>
      <c r="O219" s="67">
        <v>42.39</v>
      </c>
      <c r="P219" s="68" t="s">
        <v>53</v>
      </c>
      <c r="Q219" s="67" t="s">
        <v>60</v>
      </c>
      <c r="R219" s="67">
        <v>8.22</v>
      </c>
      <c r="S219" s="69" t="s">
        <v>61</v>
      </c>
      <c r="T219" s="69">
        <v>144000</v>
      </c>
      <c r="U219" s="69"/>
      <c r="V219" s="69" t="s">
        <v>62</v>
      </c>
      <c r="W219" s="69">
        <v>3981.25</v>
      </c>
      <c r="X219" s="69"/>
      <c r="Y219" s="69" t="s">
        <v>63</v>
      </c>
      <c r="Z219" s="69">
        <v>827</v>
      </c>
      <c r="AA219" s="69"/>
      <c r="AB219" s="70"/>
      <c r="AC219" s="69" t="s">
        <v>476</v>
      </c>
      <c r="AD219" s="69"/>
      <c r="AE219" s="71">
        <v>74310</v>
      </c>
      <c r="AF219" s="69"/>
      <c r="AG219" s="3" t="str">
        <f t="shared" si="7"/>
        <v>SamuelHooper</v>
      </c>
      <c r="AH219" s="3" t="str">
        <f>VLOOKUP($AG219,[1]Sheet8!$B:$G,1,0)</f>
        <v>SAMUELHOOPER</v>
      </c>
      <c r="AI219" s="3" t="str">
        <f>VLOOKUP($AG219,[1]Sheet8!$B:$G,4,0)</f>
        <v>EE</v>
      </c>
      <c r="AJ219" s="3" t="str">
        <f>VLOOKUP($AG219,[1]Sheet8!$B:$G,5,0)</f>
        <v>L093530003</v>
      </c>
      <c r="AK219" s="3">
        <f>VLOOKUP($AG219,[1]Sheet8!$B:$G,6,0)</f>
        <v>8.22</v>
      </c>
      <c r="AL219" s="3" t="s">
        <v>53</v>
      </c>
      <c r="AM219" s="3" t="s">
        <v>57</v>
      </c>
      <c r="AN219" s="3">
        <v>1235.83</v>
      </c>
      <c r="AO219" s="3" t="s">
        <v>53</v>
      </c>
      <c r="AP219" s="3" t="s">
        <v>59</v>
      </c>
      <c r="AQ219" s="3">
        <v>42.39</v>
      </c>
      <c r="AR219" s="3" t="s">
        <v>53</v>
      </c>
      <c r="AS219" s="3" t="s">
        <v>60</v>
      </c>
      <c r="AT219" s="3">
        <v>8.22</v>
      </c>
    </row>
    <row r="220" s="3" customFormat="1" ht="15" customHeight="1" spans="1:46">
      <c r="A220" s="60">
        <v>195</v>
      </c>
      <c r="B220" s="61" t="s">
        <v>477</v>
      </c>
      <c r="C220" s="61" t="s">
        <v>478</v>
      </c>
      <c r="D220" s="61" t="s">
        <v>67</v>
      </c>
      <c r="E220" s="62">
        <v>26439</v>
      </c>
      <c r="F220" s="61" t="s">
        <v>479</v>
      </c>
      <c r="G220" s="61" t="s">
        <v>53</v>
      </c>
      <c r="H220" s="63" t="s">
        <v>54</v>
      </c>
      <c r="I220" s="64" t="s">
        <v>58</v>
      </c>
      <c r="J220" s="63" t="s">
        <v>56</v>
      </c>
      <c r="K220" s="65" t="s">
        <v>57</v>
      </c>
      <c r="L220" s="66">
        <v>3831.06</v>
      </c>
      <c r="M220" s="67" t="s">
        <v>58</v>
      </c>
      <c r="N220" s="67" t="s">
        <v>59</v>
      </c>
      <c r="O220" s="67">
        <v>147.1</v>
      </c>
      <c r="P220" s="68" t="s">
        <v>58</v>
      </c>
      <c r="Q220" s="67" t="s">
        <v>60</v>
      </c>
      <c r="R220" s="67">
        <v>23</v>
      </c>
      <c r="S220" s="69" t="s">
        <v>61</v>
      </c>
      <c r="T220" s="69">
        <v>237000</v>
      </c>
      <c r="U220" s="69"/>
      <c r="V220" s="69" t="s">
        <v>62</v>
      </c>
      <c r="W220" s="69">
        <v>6577.94</v>
      </c>
      <c r="X220" s="69"/>
      <c r="Y220" s="69" t="s">
        <v>63</v>
      </c>
      <c r="Z220" s="69">
        <v>1366</v>
      </c>
      <c r="AA220" s="69"/>
      <c r="AB220" s="70"/>
      <c r="AC220" s="69" t="s">
        <v>480</v>
      </c>
      <c r="AD220" s="69"/>
      <c r="AE220" s="71">
        <v>121653</v>
      </c>
      <c r="AF220" s="69"/>
      <c r="AG220" s="3" t="str">
        <f t="shared" si="7"/>
        <v>AllenHouston</v>
      </c>
      <c r="AH220" s="3" t="str">
        <f>VLOOKUP($AG220,[1]Sheet8!$B:$G,1,0)</f>
        <v>ALLENHOUSTON</v>
      </c>
      <c r="AI220" s="3" t="str">
        <f>VLOOKUP($AG220,[1]Sheet8!$B:$G,4,0)</f>
        <v>FAM</v>
      </c>
      <c r="AJ220" s="3" t="str">
        <f>VLOOKUP($AG220,[1]Sheet8!$B:$G,5,0)</f>
        <v>L093530003</v>
      </c>
      <c r="AK220" s="3">
        <f>VLOOKUP($AG220,[1]Sheet8!$B:$G,6,0)</f>
        <v>23</v>
      </c>
      <c r="AL220" s="3" t="s">
        <v>58</v>
      </c>
      <c r="AM220" s="3" t="s">
        <v>57</v>
      </c>
      <c r="AN220" s="3">
        <v>3831.06</v>
      </c>
      <c r="AO220" s="3" t="s">
        <v>58</v>
      </c>
      <c r="AP220" s="3" t="s">
        <v>59</v>
      </c>
      <c r="AQ220" s="3">
        <v>147.1</v>
      </c>
      <c r="AR220" s="3" t="s">
        <v>58</v>
      </c>
      <c r="AS220" s="3" t="s">
        <v>60</v>
      </c>
      <c r="AT220" s="3">
        <v>23</v>
      </c>
    </row>
    <row r="221" s="3" customFormat="1" ht="15" customHeight="1" spans="1:46">
      <c r="A221" s="60">
        <v>196</v>
      </c>
      <c r="B221" s="61" t="s">
        <v>481</v>
      </c>
      <c r="C221" s="61" t="s">
        <v>478</v>
      </c>
      <c r="D221" s="61" t="s">
        <v>52</v>
      </c>
      <c r="E221" s="62">
        <v>42621</v>
      </c>
      <c r="F221" s="61" t="s">
        <v>479</v>
      </c>
      <c r="G221" s="61" t="s">
        <v>68</v>
      </c>
      <c r="H221" s="63">
        <v>195</v>
      </c>
      <c r="I221" s="64" t="s">
        <v>58</v>
      </c>
      <c r="J221" s="63" t="s">
        <v>56</v>
      </c>
      <c r="K221" s="65"/>
      <c r="L221" s="66"/>
      <c r="M221" s="67"/>
      <c r="N221" s="67"/>
      <c r="O221" s="67"/>
      <c r="P221" s="68"/>
      <c r="Q221" s="67"/>
      <c r="R221" s="67"/>
      <c r="S221" s="69"/>
      <c r="T221" s="69"/>
      <c r="U221" s="69"/>
      <c r="V221" s="69"/>
      <c r="W221" s="69"/>
      <c r="X221" s="69"/>
      <c r="Y221" s="69"/>
      <c r="Z221" s="69"/>
      <c r="AA221" s="69"/>
      <c r="AB221" s="70"/>
      <c r="AC221" s="69"/>
      <c r="AD221" s="69"/>
      <c r="AE221" s="71"/>
      <c r="AF221" s="69"/>
    </row>
    <row r="222" s="3" customFormat="1" ht="15" customHeight="1" spans="1:46">
      <c r="A222" s="60">
        <v>197</v>
      </c>
      <c r="B222" s="61" t="s">
        <v>180</v>
      </c>
      <c r="C222" s="61" t="s">
        <v>478</v>
      </c>
      <c r="D222" s="61" t="s">
        <v>52</v>
      </c>
      <c r="E222" s="62">
        <v>29093</v>
      </c>
      <c r="F222" s="61" t="s">
        <v>479</v>
      </c>
      <c r="G222" s="61" t="s">
        <v>85</v>
      </c>
      <c r="H222" s="63">
        <v>195</v>
      </c>
      <c r="I222" s="64" t="s">
        <v>58</v>
      </c>
      <c r="J222" s="63" t="s">
        <v>56</v>
      </c>
      <c r="K222" s="65"/>
      <c r="L222" s="66"/>
      <c r="M222" s="67"/>
      <c r="N222" s="67"/>
      <c r="O222" s="67"/>
      <c r="P222" s="68"/>
      <c r="Q222" s="67"/>
      <c r="R222" s="67"/>
      <c r="S222" s="69"/>
      <c r="T222" s="69"/>
      <c r="U222" s="69"/>
      <c r="V222" s="69"/>
      <c r="W222" s="69"/>
      <c r="X222" s="69"/>
      <c r="Y222" s="69"/>
      <c r="Z222" s="69"/>
      <c r="AA222" s="69"/>
      <c r="AB222" s="70"/>
      <c r="AC222" s="69"/>
      <c r="AD222" s="69"/>
      <c r="AE222" s="71"/>
      <c r="AF222" s="69"/>
    </row>
    <row r="223" s="3" customFormat="1" ht="15" customHeight="1" spans="1:46">
      <c r="A223" s="60">
        <v>198</v>
      </c>
      <c r="B223" s="61" t="s">
        <v>482</v>
      </c>
      <c r="C223" s="61" t="s">
        <v>478</v>
      </c>
      <c r="D223" s="61" t="s">
        <v>52</v>
      </c>
      <c r="E223" s="62">
        <v>41079</v>
      </c>
      <c r="F223" s="61" t="s">
        <v>479</v>
      </c>
      <c r="G223" s="61" t="s">
        <v>68</v>
      </c>
      <c r="H223" s="63">
        <v>195</v>
      </c>
      <c r="I223" s="64" t="s">
        <v>58</v>
      </c>
      <c r="J223" s="63" t="s">
        <v>56</v>
      </c>
      <c r="K223" s="65"/>
      <c r="L223" s="66"/>
      <c r="M223" s="67"/>
      <c r="N223" s="67"/>
      <c r="O223" s="67"/>
      <c r="P223" s="68"/>
      <c r="Q223" s="67"/>
      <c r="R223" s="67"/>
      <c r="S223" s="69"/>
      <c r="T223" s="69"/>
      <c r="U223" s="69"/>
      <c r="V223" s="69"/>
      <c r="W223" s="69"/>
      <c r="X223" s="69"/>
      <c r="Y223" s="69"/>
      <c r="Z223" s="69"/>
      <c r="AA223" s="69"/>
      <c r="AB223" s="70"/>
      <c r="AC223" s="69"/>
      <c r="AD223" s="69"/>
      <c r="AE223" s="71"/>
      <c r="AF223" s="69"/>
    </row>
    <row r="224" s="3" customFormat="1" ht="15" customHeight="1" spans="1:46">
      <c r="A224" s="60">
        <v>199</v>
      </c>
      <c r="B224" s="61" t="s">
        <v>391</v>
      </c>
      <c r="C224" s="61" t="s">
        <v>483</v>
      </c>
      <c r="D224" s="61" t="s">
        <v>67</v>
      </c>
      <c r="E224" s="62">
        <v>34200</v>
      </c>
      <c r="F224" s="61">
        <v>96815</v>
      </c>
      <c r="G224" s="61" t="s">
        <v>53</v>
      </c>
      <c r="H224" s="63" t="s">
        <v>54</v>
      </c>
      <c r="I224" s="64" t="s">
        <v>53</v>
      </c>
      <c r="J224" s="63" t="s">
        <v>56</v>
      </c>
      <c r="K224" s="65" t="s">
        <v>82</v>
      </c>
      <c r="L224" s="66">
        <v>781.79</v>
      </c>
      <c r="M224" s="67" t="s">
        <v>53</v>
      </c>
      <c r="N224" s="67" t="s">
        <v>59</v>
      </c>
      <c r="O224" s="67">
        <v>42.39</v>
      </c>
      <c r="P224" s="68" t="s">
        <v>53</v>
      </c>
      <c r="Q224" s="67" t="s">
        <v>60</v>
      </c>
      <c r="R224" s="67">
        <v>8.22</v>
      </c>
      <c r="S224" s="69" t="s">
        <v>61</v>
      </c>
      <c r="T224" s="69">
        <v>171000</v>
      </c>
      <c r="U224" s="69"/>
      <c r="V224" s="69" t="s">
        <v>62</v>
      </c>
      <c r="W224" s="69">
        <v>4737.63</v>
      </c>
      <c r="X224" s="69"/>
      <c r="Y224" s="69" t="s">
        <v>63</v>
      </c>
      <c r="Z224" s="69">
        <v>984</v>
      </c>
      <c r="AA224" s="69"/>
      <c r="AB224" s="70"/>
      <c r="AC224" s="69" t="s">
        <v>484</v>
      </c>
      <c r="AD224" s="69"/>
      <c r="AE224" s="71">
        <v>93100.86</v>
      </c>
      <c r="AF224" s="69"/>
      <c r="AG224" s="3" t="str">
        <f>B224&amp;C224</f>
        <v>KevinHuang</v>
      </c>
      <c r="AH224" s="3" t="str">
        <f>VLOOKUP($AG224,[1]Sheet8!$B:$G,1,0)</f>
        <v>KEVINHUANG</v>
      </c>
      <c r="AI224" s="3" t="str">
        <f>VLOOKUP($AG224,[1]Sheet8!$B:$G,4,0)</f>
        <v>EE</v>
      </c>
      <c r="AJ224" s="3" t="str">
        <f>VLOOKUP($AG224,[1]Sheet8!$B:$G,5,0)</f>
        <v>L093530003</v>
      </c>
      <c r="AK224" s="3">
        <f>VLOOKUP($AG224,[1]Sheet8!$B:$G,6,0)</f>
        <v>8.22</v>
      </c>
      <c r="AL224" s="3" t="s">
        <v>53</v>
      </c>
      <c r="AM224" s="3" t="s">
        <v>82</v>
      </c>
      <c r="AN224" s="3">
        <v>781.79</v>
      </c>
      <c r="AO224" s="3" t="s">
        <v>53</v>
      </c>
      <c r="AP224" s="3" t="s">
        <v>59</v>
      </c>
      <c r="AQ224" s="3">
        <v>42.39</v>
      </c>
      <c r="AR224" s="3" t="s">
        <v>53</v>
      </c>
      <c r="AS224" s="3" t="s">
        <v>60</v>
      </c>
      <c r="AT224" s="3">
        <v>8.22</v>
      </c>
    </row>
    <row r="225" s="3" customFormat="1" ht="15" customHeight="1" spans="1:46">
      <c r="A225" s="60">
        <v>200</v>
      </c>
      <c r="B225" s="61" t="s">
        <v>485</v>
      </c>
      <c r="C225" s="61" t="s">
        <v>483</v>
      </c>
      <c r="D225" s="61" t="s">
        <v>67</v>
      </c>
      <c r="E225" s="62">
        <v>36890</v>
      </c>
      <c r="F225" s="61">
        <v>92108</v>
      </c>
      <c r="G225" s="61" t="s">
        <v>53</v>
      </c>
      <c r="H225" s="63" t="s">
        <v>54</v>
      </c>
      <c r="I225" s="64" t="s">
        <v>53</v>
      </c>
      <c r="J225" s="63" t="s">
        <v>56</v>
      </c>
      <c r="K225" s="65" t="s">
        <v>57</v>
      </c>
      <c r="L225" s="66">
        <v>1235.83</v>
      </c>
      <c r="M225" s="67" t="s">
        <v>53</v>
      </c>
      <c r="N225" s="67" t="s">
        <v>59</v>
      </c>
      <c r="O225" s="67">
        <v>42.39</v>
      </c>
      <c r="P225" s="68" t="s">
        <v>53</v>
      </c>
      <c r="Q225" s="67" t="s">
        <v>60</v>
      </c>
      <c r="R225" s="67">
        <v>8.22</v>
      </c>
      <c r="S225" s="69" t="s">
        <v>61</v>
      </c>
      <c r="T225" s="69">
        <v>140000</v>
      </c>
      <c r="U225" s="69"/>
      <c r="V225" s="69" t="s">
        <v>62</v>
      </c>
      <c r="W225" s="69">
        <v>3889.08</v>
      </c>
      <c r="X225" s="69"/>
      <c r="Y225" s="69" t="s">
        <v>63</v>
      </c>
      <c r="Z225" s="69">
        <v>808</v>
      </c>
      <c r="AA225" s="69"/>
      <c r="AB225" s="70"/>
      <c r="AC225" s="69" t="s">
        <v>416</v>
      </c>
      <c r="AD225" s="69"/>
      <c r="AE225" s="71">
        <v>71050</v>
      </c>
      <c r="AF225" s="69"/>
      <c r="AG225" s="3" t="str">
        <f>B225&amp;C225</f>
        <v>CoreyHuang</v>
      </c>
      <c r="AH225" s="3" t="str">
        <f>VLOOKUP($AG225,[1]Sheet8!$B:$G,1,0)</f>
        <v>COREYHUANG</v>
      </c>
      <c r="AI225" s="3" t="str">
        <f>VLOOKUP($AG225,[1]Sheet8!$B:$G,4,0)</f>
        <v>EE</v>
      </c>
      <c r="AJ225" s="3" t="str">
        <f>VLOOKUP($AG225,[1]Sheet8!$B:$G,5,0)</f>
        <v>L093530003</v>
      </c>
      <c r="AK225" s="3">
        <f>VLOOKUP($AG225,[1]Sheet8!$B:$G,6,0)</f>
        <v>8.22</v>
      </c>
      <c r="AL225" s="3" t="s">
        <v>53</v>
      </c>
      <c r="AM225" s="3" t="s">
        <v>57</v>
      </c>
      <c r="AN225" s="3">
        <v>1235.83</v>
      </c>
      <c r="AO225" s="3" t="s">
        <v>53</v>
      </c>
      <c r="AP225" s="3" t="s">
        <v>59</v>
      </c>
      <c r="AQ225" s="3">
        <v>42.39</v>
      </c>
      <c r="AR225" s="3" t="s">
        <v>53</v>
      </c>
      <c r="AS225" s="3" t="s">
        <v>60</v>
      </c>
      <c r="AT225" s="3">
        <v>8.22</v>
      </c>
    </row>
    <row r="226" s="3" customFormat="1" ht="15" customHeight="1" spans="1:46">
      <c r="A226" s="60">
        <v>201</v>
      </c>
      <c r="B226" s="61" t="s">
        <v>486</v>
      </c>
      <c r="C226" s="61" t="s">
        <v>487</v>
      </c>
      <c r="D226" s="61" t="s">
        <v>67</v>
      </c>
      <c r="E226" s="62">
        <v>29475</v>
      </c>
      <c r="F226" s="61">
        <v>30032</v>
      </c>
      <c r="G226" s="61" t="s">
        <v>53</v>
      </c>
      <c r="H226" s="63" t="s">
        <v>54</v>
      </c>
      <c r="I226" s="64" t="s">
        <v>81</v>
      </c>
      <c r="J226" s="63" t="s">
        <v>56</v>
      </c>
      <c r="K226" s="65" t="s">
        <v>57</v>
      </c>
      <c r="L226" s="66">
        <v>2718.81</v>
      </c>
      <c r="M226" s="67" t="s">
        <v>81</v>
      </c>
      <c r="N226" s="67" t="s">
        <v>59</v>
      </c>
      <c r="O226" s="67">
        <v>84.72</v>
      </c>
      <c r="P226" s="68" t="s">
        <v>81</v>
      </c>
      <c r="Q226" s="67" t="s">
        <v>60</v>
      </c>
      <c r="R226" s="67">
        <v>16.48</v>
      </c>
      <c r="S226" s="69" t="s">
        <v>61</v>
      </c>
      <c r="T226" s="69">
        <v>250000</v>
      </c>
      <c r="U226" s="69"/>
      <c r="V226" s="69" t="s">
        <v>62</v>
      </c>
      <c r="W226" s="69">
        <v>8699.71</v>
      </c>
      <c r="X226" s="69"/>
      <c r="Y226" s="69" t="s">
        <v>63</v>
      </c>
      <c r="Z226" s="69">
        <v>1807</v>
      </c>
      <c r="AA226" s="69"/>
      <c r="AB226" s="70"/>
      <c r="AC226" s="69" t="s">
        <v>488</v>
      </c>
      <c r="AD226" s="69"/>
      <c r="AE226" s="71">
        <v>161285</v>
      </c>
      <c r="AF226" s="69"/>
      <c r="AG226" s="3" t="str">
        <f>B226&amp;C226</f>
        <v>WilliamHunt</v>
      </c>
      <c r="AH226" s="3" t="str">
        <f>VLOOKUP($AG226,[1]Sheet8!$B:$G,1,0)</f>
        <v>WILLIAMHUNT</v>
      </c>
      <c r="AI226" s="3" t="str">
        <f>VLOOKUP($AG226,[1]Sheet8!$B:$G,4,0)</f>
        <v>ES</v>
      </c>
      <c r="AJ226" s="3" t="str">
        <f>VLOOKUP($AG226,[1]Sheet8!$B:$G,5,0)</f>
        <v>L093530003</v>
      </c>
      <c r="AK226" s="3">
        <f>VLOOKUP($AG226,[1]Sheet8!$B:$G,6,0)</f>
        <v>16.48</v>
      </c>
      <c r="AL226" s="3" t="s">
        <v>81</v>
      </c>
      <c r="AM226" s="3" t="s">
        <v>57</v>
      </c>
      <c r="AN226" s="3">
        <v>2718.81</v>
      </c>
      <c r="AO226" s="3" t="s">
        <v>81</v>
      </c>
      <c r="AP226" s="3" t="s">
        <v>59</v>
      </c>
      <c r="AQ226" s="3">
        <v>84.72</v>
      </c>
      <c r="AR226" s="3" t="s">
        <v>81</v>
      </c>
      <c r="AS226" s="3" t="s">
        <v>60</v>
      </c>
      <c r="AT226" s="3">
        <v>16.48</v>
      </c>
    </row>
    <row r="227" s="3" customFormat="1" ht="15" customHeight="1" spans="1:46">
      <c r="A227" s="60">
        <v>202</v>
      </c>
      <c r="B227" s="61" t="s">
        <v>489</v>
      </c>
      <c r="C227" s="61" t="s">
        <v>490</v>
      </c>
      <c r="D227" s="61" t="s">
        <v>67</v>
      </c>
      <c r="E227" s="62">
        <v>33983</v>
      </c>
      <c r="F227" s="61">
        <v>30032</v>
      </c>
      <c r="G227" s="61" t="s">
        <v>85</v>
      </c>
      <c r="H227" s="63">
        <v>201</v>
      </c>
      <c r="I227" s="64" t="s">
        <v>81</v>
      </c>
      <c r="J227" s="63" t="s">
        <v>56</v>
      </c>
      <c r="K227" s="65"/>
      <c r="L227" s="66"/>
      <c r="M227" s="67"/>
      <c r="N227" s="67"/>
      <c r="O227" s="67"/>
      <c r="P227" s="68"/>
      <c r="Q227" s="67"/>
      <c r="R227" s="67"/>
      <c r="S227" s="69"/>
      <c r="T227" s="69"/>
      <c r="U227" s="69"/>
      <c r="V227" s="69"/>
      <c r="W227" s="69"/>
      <c r="X227" s="69"/>
      <c r="Y227" s="69"/>
      <c r="Z227" s="69"/>
      <c r="AA227" s="69"/>
      <c r="AB227" s="70"/>
      <c r="AC227" s="69"/>
      <c r="AD227" s="69"/>
      <c r="AE227" s="71"/>
      <c r="AF227" s="69"/>
    </row>
    <row r="228" s="3" customFormat="1" ht="15" customHeight="1" spans="1:46">
      <c r="A228" s="60">
        <v>203</v>
      </c>
      <c r="B228" s="61" t="s">
        <v>491</v>
      </c>
      <c r="C228" s="61" t="s">
        <v>487</v>
      </c>
      <c r="D228" s="61" t="s">
        <v>52</v>
      </c>
      <c r="E228" s="62">
        <v>26660</v>
      </c>
      <c r="F228" s="61" t="s">
        <v>492</v>
      </c>
      <c r="G228" s="61" t="s">
        <v>53</v>
      </c>
      <c r="H228" s="63" t="s">
        <v>54</v>
      </c>
      <c r="I228" s="64" t="s">
        <v>119</v>
      </c>
      <c r="J228" s="63" t="s">
        <v>56</v>
      </c>
      <c r="K228" s="65"/>
      <c r="L228" s="66"/>
      <c r="M228" s="67" t="s">
        <v>58</v>
      </c>
      <c r="N228" s="67" t="s">
        <v>59</v>
      </c>
      <c r="O228" s="67">
        <v>147.1</v>
      </c>
      <c r="P228" s="68" t="s">
        <v>58</v>
      </c>
      <c r="Q228" s="67" t="s">
        <v>60</v>
      </c>
      <c r="R228" s="67">
        <v>23</v>
      </c>
      <c r="S228" s="69" t="s">
        <v>61</v>
      </c>
      <c r="T228" s="69">
        <v>250000</v>
      </c>
      <c r="U228" s="69"/>
      <c r="V228" s="69" t="s">
        <v>62</v>
      </c>
      <c r="W228" s="69">
        <v>9856.44</v>
      </c>
      <c r="X228" s="69"/>
      <c r="Y228" s="69" t="s">
        <v>63</v>
      </c>
      <c r="Z228" s="69">
        <v>2000</v>
      </c>
      <c r="AA228" s="69"/>
      <c r="AB228" s="70"/>
      <c r="AC228" s="69" t="s">
        <v>493</v>
      </c>
      <c r="AD228" s="69"/>
      <c r="AE228" s="71">
        <v>193715.93</v>
      </c>
      <c r="AF228" s="69"/>
      <c r="AG228" s="3" t="str">
        <f>B228&amp;C228</f>
        <v>CandaceHunt</v>
      </c>
      <c r="AH228" s="3" t="str">
        <f>VLOOKUP($AG228,[1]Sheet8!$B:$G,1,0)</f>
        <v>CANDACEHUNT</v>
      </c>
      <c r="AI228" s="3" t="str">
        <f>VLOOKUP($AG228,[1]Sheet8!$B:$G,4,0)</f>
        <v>FAM</v>
      </c>
      <c r="AJ228" s="3" t="str">
        <f>VLOOKUP($AG228,[1]Sheet8!$B:$G,5,0)</f>
        <v>L093530003</v>
      </c>
      <c r="AK228" s="3">
        <f>VLOOKUP($AG228,[1]Sheet8!$B:$G,6,0)</f>
        <v>23</v>
      </c>
      <c r="AO228" s="3" t="s">
        <v>58</v>
      </c>
      <c r="AP228" s="3" t="s">
        <v>59</v>
      </c>
      <c r="AQ228" s="3">
        <v>147.1</v>
      </c>
      <c r="AR228" s="3" t="s">
        <v>58</v>
      </c>
      <c r="AS228" s="3" t="s">
        <v>60</v>
      </c>
      <c r="AT228" s="3">
        <v>23</v>
      </c>
    </row>
    <row r="229" s="3" customFormat="1" ht="15" customHeight="1" spans="1:46">
      <c r="A229" s="60">
        <v>204</v>
      </c>
      <c r="B229" s="61" t="s">
        <v>494</v>
      </c>
      <c r="C229" s="61" t="s">
        <v>495</v>
      </c>
      <c r="D229" s="61" t="s">
        <v>52</v>
      </c>
      <c r="E229" s="62">
        <v>34946</v>
      </c>
      <c r="F229" s="61">
        <v>99016</v>
      </c>
      <c r="G229" s="61" t="s">
        <v>53</v>
      </c>
      <c r="H229" s="63" t="s">
        <v>54</v>
      </c>
      <c r="I229" s="64" t="s">
        <v>53</v>
      </c>
      <c r="J229" s="63" t="s">
        <v>56</v>
      </c>
      <c r="K229" s="65" t="s">
        <v>82</v>
      </c>
      <c r="L229" s="66">
        <v>781.79</v>
      </c>
      <c r="M229" s="67" t="s">
        <v>53</v>
      </c>
      <c r="N229" s="67" t="s">
        <v>59</v>
      </c>
      <c r="O229" s="67">
        <v>42.39</v>
      </c>
      <c r="P229" s="68" t="s">
        <v>53</v>
      </c>
      <c r="Q229" s="67" t="s">
        <v>60</v>
      </c>
      <c r="R229" s="67">
        <v>8.22</v>
      </c>
      <c r="S229" s="69" t="s">
        <v>61</v>
      </c>
      <c r="T229" s="69">
        <v>188000</v>
      </c>
      <c r="U229" s="69"/>
      <c r="V229" s="69" t="s">
        <v>62</v>
      </c>
      <c r="W229" s="69">
        <v>5222.26</v>
      </c>
      <c r="X229" s="69"/>
      <c r="Y229" s="69" t="s">
        <v>63</v>
      </c>
      <c r="Z229" s="69">
        <v>1085</v>
      </c>
      <c r="AA229" s="69"/>
      <c r="AB229" s="70"/>
      <c r="AC229" s="69" t="s">
        <v>496</v>
      </c>
      <c r="AD229" s="69"/>
      <c r="AE229" s="71">
        <v>150000</v>
      </c>
      <c r="AF229" s="69"/>
      <c r="AG229" s="3" t="str">
        <f>B229&amp;C229</f>
        <v>GabrielleIlenstine</v>
      </c>
      <c r="AH229" s="3" t="str">
        <f>VLOOKUP($AG229,[1]Sheet8!$B:$G,1,0)</f>
        <v>GABRIELLEILENSTINE</v>
      </c>
      <c r="AI229" s="3" t="str">
        <f>VLOOKUP($AG229,[1]Sheet8!$B:$G,4,0)</f>
        <v>EE</v>
      </c>
      <c r="AJ229" s="3" t="str">
        <f>VLOOKUP($AG229,[1]Sheet8!$B:$G,5,0)</f>
        <v>L093530003</v>
      </c>
      <c r="AK229" s="3">
        <f>VLOOKUP($AG229,[1]Sheet8!$B:$G,6,0)</f>
        <v>8.22</v>
      </c>
      <c r="AL229" s="3" t="s">
        <v>53</v>
      </c>
      <c r="AM229" s="3" t="s">
        <v>82</v>
      </c>
      <c r="AN229" s="3">
        <v>781.79</v>
      </c>
      <c r="AO229" s="3" t="s">
        <v>53</v>
      </c>
      <c r="AP229" s="3" t="s">
        <v>59</v>
      </c>
      <c r="AQ229" s="3">
        <v>42.39</v>
      </c>
      <c r="AR229" s="3" t="s">
        <v>53</v>
      </c>
      <c r="AS229" s="3" t="s">
        <v>60</v>
      </c>
      <c r="AT229" s="3">
        <v>8.22</v>
      </c>
    </row>
    <row r="230" s="3" customFormat="1" ht="15" customHeight="1" spans="1:46">
      <c r="A230" s="60">
        <v>205</v>
      </c>
      <c r="B230" s="61" t="s">
        <v>188</v>
      </c>
      <c r="C230" s="61" t="s">
        <v>497</v>
      </c>
      <c r="D230" s="61" t="s">
        <v>67</v>
      </c>
      <c r="E230" s="62">
        <v>24555</v>
      </c>
      <c r="F230" s="61">
        <v>94949</v>
      </c>
      <c r="G230" s="61" t="s">
        <v>53</v>
      </c>
      <c r="H230" s="63" t="s">
        <v>54</v>
      </c>
      <c r="I230" s="64" t="s">
        <v>58</v>
      </c>
      <c r="J230" s="63" t="s">
        <v>56</v>
      </c>
      <c r="K230" s="65" t="s">
        <v>57</v>
      </c>
      <c r="L230" s="66">
        <v>3831.06</v>
      </c>
      <c r="M230" s="67" t="s">
        <v>58</v>
      </c>
      <c r="N230" s="67" t="s">
        <v>59</v>
      </c>
      <c r="O230" s="67">
        <v>147.1</v>
      </c>
      <c r="P230" s="68" t="s">
        <v>58</v>
      </c>
      <c r="Q230" s="67" t="s">
        <v>60</v>
      </c>
      <c r="R230" s="67">
        <v>23</v>
      </c>
      <c r="S230" s="69" t="s">
        <v>61</v>
      </c>
      <c r="T230" s="69">
        <v>250000</v>
      </c>
      <c r="U230" s="69"/>
      <c r="V230" s="69" t="s">
        <v>62</v>
      </c>
      <c r="W230" s="69">
        <v>7353.03</v>
      </c>
      <c r="X230" s="69"/>
      <c r="Y230" s="69" t="s">
        <v>63</v>
      </c>
      <c r="Z230" s="69">
        <v>1527</v>
      </c>
      <c r="AA230" s="69"/>
      <c r="AB230" s="70"/>
      <c r="AC230" s="69" t="s">
        <v>335</v>
      </c>
      <c r="AD230" s="69"/>
      <c r="AE230" s="71">
        <v>136318</v>
      </c>
      <c r="AF230" s="69"/>
      <c r="AG230" s="3" t="str">
        <f>B230&amp;C230</f>
        <v>RobertIwamiya</v>
      </c>
      <c r="AH230" s="3" t="str">
        <f>VLOOKUP($AG230,[1]Sheet8!$B:$G,1,0)</f>
        <v>ROBERTIWAMIYA</v>
      </c>
      <c r="AI230" s="3" t="str">
        <f>VLOOKUP($AG230,[1]Sheet8!$B:$G,4,0)</f>
        <v>FAM</v>
      </c>
      <c r="AJ230" s="3" t="str">
        <f>VLOOKUP($AG230,[1]Sheet8!$B:$G,5,0)</f>
        <v>L093530003</v>
      </c>
      <c r="AK230" s="3">
        <f>VLOOKUP($AG230,[1]Sheet8!$B:$G,6,0)</f>
        <v>23</v>
      </c>
      <c r="AL230" s="3" t="s">
        <v>58</v>
      </c>
      <c r="AM230" s="3" t="s">
        <v>57</v>
      </c>
      <c r="AN230" s="3">
        <v>3831.06</v>
      </c>
      <c r="AO230" s="3" t="s">
        <v>58</v>
      </c>
      <c r="AP230" s="3" t="s">
        <v>59</v>
      </c>
      <c r="AQ230" s="3">
        <v>147.1</v>
      </c>
      <c r="AR230" s="3" t="s">
        <v>58</v>
      </c>
      <c r="AS230" s="3" t="s">
        <v>60</v>
      </c>
      <c r="AT230" s="3">
        <v>23</v>
      </c>
    </row>
    <row r="231" s="3" customFormat="1" ht="15" customHeight="1" spans="1:46">
      <c r="A231" s="60">
        <v>206</v>
      </c>
      <c r="B231" s="61" t="s">
        <v>215</v>
      </c>
      <c r="C231" s="61" t="s">
        <v>497</v>
      </c>
      <c r="D231" s="61" t="s">
        <v>67</v>
      </c>
      <c r="E231" s="62">
        <v>41586</v>
      </c>
      <c r="F231" s="61">
        <v>94949</v>
      </c>
      <c r="G231" s="61" t="s">
        <v>68</v>
      </c>
      <c r="H231" s="63">
        <v>205</v>
      </c>
      <c r="I231" s="64" t="s">
        <v>58</v>
      </c>
      <c r="J231" s="63" t="s">
        <v>56</v>
      </c>
      <c r="K231" s="65"/>
      <c r="L231" s="66"/>
      <c r="M231" s="67"/>
      <c r="N231" s="67"/>
      <c r="O231" s="67"/>
      <c r="P231" s="68"/>
      <c r="Q231" s="67"/>
      <c r="R231" s="67"/>
      <c r="S231" s="69"/>
      <c r="T231" s="69"/>
      <c r="U231" s="69"/>
      <c r="V231" s="69"/>
      <c r="W231" s="69"/>
      <c r="X231" s="69"/>
      <c r="Y231" s="69"/>
      <c r="Z231" s="69"/>
      <c r="AA231" s="69"/>
      <c r="AB231" s="70"/>
      <c r="AC231" s="69"/>
      <c r="AD231" s="69"/>
      <c r="AE231" s="71"/>
      <c r="AF231" s="69"/>
    </row>
    <row r="232" s="3" customFormat="1" ht="15" customHeight="1" spans="1:46">
      <c r="A232" s="60">
        <v>207</v>
      </c>
      <c r="B232" s="61" t="s">
        <v>498</v>
      </c>
      <c r="C232" s="61" t="s">
        <v>497</v>
      </c>
      <c r="D232" s="61" t="s">
        <v>52</v>
      </c>
      <c r="E232" s="62">
        <v>40572</v>
      </c>
      <c r="F232" s="61">
        <v>94949</v>
      </c>
      <c r="G232" s="61" t="s">
        <v>68</v>
      </c>
      <c r="H232" s="63">
        <v>205</v>
      </c>
      <c r="I232" s="64" t="s">
        <v>58</v>
      </c>
      <c r="J232" s="63" t="s">
        <v>56</v>
      </c>
      <c r="K232" s="65"/>
      <c r="L232" s="66"/>
      <c r="M232" s="67"/>
      <c r="N232" s="67"/>
      <c r="O232" s="67"/>
      <c r="P232" s="68"/>
      <c r="Q232" s="67"/>
      <c r="R232" s="67"/>
      <c r="S232" s="69"/>
      <c r="T232" s="69"/>
      <c r="U232" s="69"/>
      <c r="V232" s="69"/>
      <c r="W232" s="69"/>
      <c r="X232" s="69"/>
      <c r="Y232" s="69"/>
      <c r="Z232" s="69"/>
      <c r="AA232" s="69"/>
      <c r="AB232" s="70"/>
      <c r="AC232" s="69"/>
      <c r="AD232" s="69"/>
      <c r="AE232" s="71"/>
      <c r="AF232" s="69"/>
    </row>
    <row r="233" s="3" customFormat="1" ht="15" customHeight="1" spans="1:46">
      <c r="A233" s="60">
        <v>208</v>
      </c>
      <c r="B233" s="61" t="s">
        <v>163</v>
      </c>
      <c r="C233" s="61" t="s">
        <v>497</v>
      </c>
      <c r="D233" s="61" t="s">
        <v>52</v>
      </c>
      <c r="E233" s="62">
        <v>24523</v>
      </c>
      <c r="F233" s="61">
        <v>94949</v>
      </c>
      <c r="G233" s="61" t="s">
        <v>85</v>
      </c>
      <c r="H233" s="63">
        <v>205</v>
      </c>
      <c r="I233" s="64" t="s">
        <v>58</v>
      </c>
      <c r="J233" s="63" t="s">
        <v>56</v>
      </c>
      <c r="K233" s="65"/>
      <c r="L233" s="66"/>
      <c r="M233" s="67"/>
      <c r="N233" s="67"/>
      <c r="O233" s="67"/>
      <c r="P233" s="68"/>
      <c r="Q233" s="67"/>
      <c r="R233" s="67"/>
      <c r="S233" s="69"/>
      <c r="T233" s="69"/>
      <c r="U233" s="69"/>
      <c r="V233" s="69"/>
      <c r="W233" s="69"/>
      <c r="X233" s="69"/>
      <c r="Y233" s="69"/>
      <c r="Z233" s="69"/>
      <c r="AA233" s="69"/>
      <c r="AB233" s="70"/>
      <c r="AC233" s="69"/>
      <c r="AD233" s="69"/>
      <c r="AE233" s="71"/>
      <c r="AF233" s="69"/>
    </row>
    <row r="234" s="3" customFormat="1" ht="15" customHeight="1" spans="1:46">
      <c r="A234" s="60">
        <v>209</v>
      </c>
      <c r="B234" s="61" t="s">
        <v>499</v>
      </c>
      <c r="C234" s="61" t="s">
        <v>500</v>
      </c>
      <c r="D234" s="61" t="s">
        <v>52</v>
      </c>
      <c r="E234" s="62">
        <v>34626</v>
      </c>
      <c r="F234" s="61">
        <v>60148</v>
      </c>
      <c r="G234" s="61" t="s">
        <v>53</v>
      </c>
      <c r="H234" s="63" t="s">
        <v>54</v>
      </c>
      <c r="I234" s="64" t="s">
        <v>81</v>
      </c>
      <c r="J234" s="63" t="s">
        <v>56</v>
      </c>
      <c r="K234" s="65" t="s">
        <v>57</v>
      </c>
      <c r="L234" s="66">
        <v>2718.81</v>
      </c>
      <c r="M234" s="67" t="s">
        <v>81</v>
      </c>
      <c r="N234" s="67" t="s">
        <v>59</v>
      </c>
      <c r="O234" s="67">
        <v>84.72</v>
      </c>
      <c r="P234" s="68" t="s">
        <v>81</v>
      </c>
      <c r="Q234" s="67" t="s">
        <v>60</v>
      </c>
      <c r="R234" s="67">
        <v>16.48</v>
      </c>
      <c r="S234" s="69" t="s">
        <v>61</v>
      </c>
      <c r="T234" s="69">
        <v>179000</v>
      </c>
      <c r="U234" s="69"/>
      <c r="V234" s="69" t="s">
        <v>62</v>
      </c>
      <c r="W234" s="69">
        <v>4964.64</v>
      </c>
      <c r="X234" s="69"/>
      <c r="Y234" s="69" t="s">
        <v>63</v>
      </c>
      <c r="Z234" s="69">
        <v>1031</v>
      </c>
      <c r="AA234" s="69"/>
      <c r="AB234" s="70"/>
      <c r="AC234" s="69" t="s">
        <v>144</v>
      </c>
      <c r="AD234" s="69"/>
      <c r="AE234" s="71">
        <v>92040</v>
      </c>
      <c r="AF234" s="69"/>
      <c r="AG234" s="3" t="str">
        <f>B234&amp;C234</f>
        <v>TasmiyahJaffer</v>
      </c>
      <c r="AH234" s="3" t="str">
        <f>VLOOKUP($AG234,[1]Sheet8!$B:$G,1,0)</f>
        <v>TASMIYAHJAFFER</v>
      </c>
      <c r="AI234" s="3" t="str">
        <f>VLOOKUP($AG234,[1]Sheet8!$B:$G,4,0)</f>
        <v>ES</v>
      </c>
      <c r="AJ234" s="3" t="str">
        <f>VLOOKUP($AG234,[1]Sheet8!$B:$G,5,0)</f>
        <v>L093530003</v>
      </c>
      <c r="AK234" s="3">
        <f>VLOOKUP($AG234,[1]Sheet8!$B:$G,6,0)</f>
        <v>16.48</v>
      </c>
      <c r="AL234" s="3" t="s">
        <v>81</v>
      </c>
      <c r="AM234" s="3" t="s">
        <v>57</v>
      </c>
      <c r="AN234" s="3">
        <v>2718.81</v>
      </c>
      <c r="AO234" s="3" t="s">
        <v>81</v>
      </c>
      <c r="AP234" s="3" t="s">
        <v>59</v>
      </c>
      <c r="AQ234" s="3">
        <v>84.72</v>
      </c>
      <c r="AR234" s="3" t="s">
        <v>81</v>
      </c>
      <c r="AS234" s="3" t="s">
        <v>60</v>
      </c>
      <c r="AT234" s="3">
        <v>16.48</v>
      </c>
    </row>
    <row r="235" s="3" customFormat="1" ht="15" customHeight="1" spans="1:46">
      <c r="A235" s="60">
        <v>210</v>
      </c>
      <c r="B235" s="61" t="s">
        <v>501</v>
      </c>
      <c r="C235" s="61" t="s">
        <v>502</v>
      </c>
      <c r="D235" s="61" t="s">
        <v>67</v>
      </c>
      <c r="E235" s="62">
        <v>35395</v>
      </c>
      <c r="F235" s="61">
        <v>60148</v>
      </c>
      <c r="G235" s="61" t="s">
        <v>85</v>
      </c>
      <c r="H235" s="63">
        <v>209</v>
      </c>
      <c r="I235" s="64" t="s">
        <v>81</v>
      </c>
      <c r="J235" s="63" t="s">
        <v>56</v>
      </c>
      <c r="K235" s="65"/>
      <c r="L235" s="66"/>
      <c r="M235" s="67"/>
      <c r="N235" s="67"/>
      <c r="O235" s="67"/>
      <c r="P235" s="68"/>
      <c r="Q235" s="67"/>
      <c r="R235" s="67"/>
      <c r="S235" s="69"/>
      <c r="T235" s="69"/>
      <c r="U235" s="69"/>
      <c r="V235" s="69"/>
      <c r="W235" s="69"/>
      <c r="X235" s="69"/>
      <c r="Y235" s="69"/>
      <c r="Z235" s="69"/>
      <c r="AA235" s="69"/>
      <c r="AB235" s="70"/>
      <c r="AC235" s="69"/>
      <c r="AD235" s="69"/>
      <c r="AE235" s="71"/>
      <c r="AF235" s="69"/>
    </row>
    <row r="236" s="3" customFormat="1" ht="15" customHeight="1" spans="1:46">
      <c r="A236" s="60">
        <v>211</v>
      </c>
      <c r="B236" s="61" t="s">
        <v>503</v>
      </c>
      <c r="C236" s="61" t="s">
        <v>504</v>
      </c>
      <c r="D236" s="61" t="s">
        <v>67</v>
      </c>
      <c r="E236" s="62">
        <v>24594</v>
      </c>
      <c r="F236" s="61">
        <v>27703</v>
      </c>
      <c r="G236" s="61" t="s">
        <v>53</v>
      </c>
      <c r="H236" s="63" t="s">
        <v>54</v>
      </c>
      <c r="I236" s="64" t="s">
        <v>53</v>
      </c>
      <c r="J236" s="63" t="s">
        <v>56</v>
      </c>
      <c r="K236" s="65" t="s">
        <v>57</v>
      </c>
      <c r="L236" s="66">
        <v>1235.83</v>
      </c>
      <c r="M236" s="67" t="s">
        <v>53</v>
      </c>
      <c r="N236" s="67" t="s">
        <v>59</v>
      </c>
      <c r="O236" s="67">
        <v>42.39</v>
      </c>
      <c r="P236" s="68" t="s">
        <v>53</v>
      </c>
      <c r="Q236" s="67" t="s">
        <v>60</v>
      </c>
      <c r="R236" s="67">
        <v>8.22</v>
      </c>
      <c r="S236" s="69" t="s">
        <v>61</v>
      </c>
      <c r="T236" s="69">
        <v>250000</v>
      </c>
      <c r="U236" s="69"/>
      <c r="V236" s="69" t="s">
        <v>62</v>
      </c>
      <c r="W236" s="69">
        <v>8529.7</v>
      </c>
      <c r="X236" s="69"/>
      <c r="Y236" s="69" t="s">
        <v>63</v>
      </c>
      <c r="Z236" s="69">
        <v>1771</v>
      </c>
      <c r="AA236" s="69"/>
      <c r="AB236" s="70"/>
      <c r="AC236" s="69" t="s">
        <v>505</v>
      </c>
      <c r="AD236" s="69"/>
      <c r="AE236" s="71">
        <v>158133</v>
      </c>
      <c r="AF236" s="69"/>
      <c r="AG236" s="3" t="str">
        <f>B236&amp;C236</f>
        <v>MarcJameson</v>
      </c>
      <c r="AH236" s="3" t="str">
        <f>VLOOKUP($AG236,[1]Sheet8!$B:$G,1,0)</f>
        <v>MARCJAMESON</v>
      </c>
      <c r="AI236" s="3" t="str">
        <f>VLOOKUP($AG236,[1]Sheet8!$B:$G,4,0)</f>
        <v>EE</v>
      </c>
      <c r="AJ236" s="3" t="str">
        <f>VLOOKUP($AG236,[1]Sheet8!$B:$G,5,0)</f>
        <v>L093530003</v>
      </c>
      <c r="AK236" s="3">
        <f>VLOOKUP($AG236,[1]Sheet8!$B:$G,6,0)</f>
        <v>8.22</v>
      </c>
      <c r="AL236" s="3" t="s">
        <v>53</v>
      </c>
      <c r="AM236" s="3" t="s">
        <v>57</v>
      </c>
      <c r="AN236" s="3">
        <v>1235.83</v>
      </c>
      <c r="AO236" s="3" t="s">
        <v>53</v>
      </c>
      <c r="AP236" s="3" t="s">
        <v>59</v>
      </c>
      <c r="AQ236" s="3">
        <v>42.39</v>
      </c>
      <c r="AR236" s="3" t="s">
        <v>53</v>
      </c>
      <c r="AS236" s="3" t="s">
        <v>60</v>
      </c>
      <c r="AT236" s="3">
        <v>8.22</v>
      </c>
    </row>
    <row r="237" s="3" customFormat="1" ht="15" customHeight="1" spans="1:46">
      <c r="A237" s="60">
        <v>212</v>
      </c>
      <c r="B237" s="61" t="s">
        <v>506</v>
      </c>
      <c r="C237" s="61" t="s">
        <v>507</v>
      </c>
      <c r="D237" s="61" t="s">
        <v>52</v>
      </c>
      <c r="E237" s="62">
        <v>37278</v>
      </c>
      <c r="F237" s="61">
        <v>60040</v>
      </c>
      <c r="G237" s="61" t="s">
        <v>53</v>
      </c>
      <c r="H237" s="63" t="s">
        <v>54</v>
      </c>
      <c r="I237" s="64" t="s">
        <v>53</v>
      </c>
      <c r="J237" s="63" t="s">
        <v>56</v>
      </c>
      <c r="K237" s="65" t="s">
        <v>57</v>
      </c>
      <c r="L237" s="66">
        <v>1235.83</v>
      </c>
      <c r="M237" s="67" t="s">
        <v>53</v>
      </c>
      <c r="N237" s="67" t="s">
        <v>59</v>
      </c>
      <c r="O237" s="67">
        <v>42.39</v>
      </c>
      <c r="P237" s="68" t="s">
        <v>53</v>
      </c>
      <c r="Q237" s="67" t="s">
        <v>60</v>
      </c>
      <c r="R237" s="67">
        <v>8.22</v>
      </c>
      <c r="S237" s="69" t="s">
        <v>61</v>
      </c>
      <c r="T237" s="69">
        <v>118000</v>
      </c>
      <c r="U237" s="69"/>
      <c r="V237" s="69" t="s">
        <v>62</v>
      </c>
      <c r="W237" s="69">
        <v>3258.77</v>
      </c>
      <c r="X237" s="69"/>
      <c r="Y237" s="69" t="s">
        <v>63</v>
      </c>
      <c r="Z237" s="69">
        <v>677</v>
      </c>
      <c r="AA237" s="69"/>
      <c r="AB237" s="70"/>
      <c r="AC237" s="69" t="s">
        <v>138</v>
      </c>
      <c r="AD237" s="69"/>
      <c r="AE237" s="71">
        <v>58655</v>
      </c>
      <c r="AF237" s="69"/>
      <c r="AG237" s="3" t="str">
        <f>B237&amp;C237</f>
        <v>EmmaJanke</v>
      </c>
      <c r="AH237" s="3" t="str">
        <f>VLOOKUP($AG237,[1]Sheet8!$B:$G,1,0)</f>
        <v>EMMAJANKE</v>
      </c>
      <c r="AI237" s="3" t="str">
        <f>VLOOKUP($AG237,[1]Sheet8!$B:$G,4,0)</f>
        <v>EE</v>
      </c>
      <c r="AJ237" s="3" t="str">
        <f>VLOOKUP($AG237,[1]Sheet8!$B:$G,5,0)</f>
        <v>L093530003</v>
      </c>
      <c r="AK237" s="3">
        <f>VLOOKUP($AG237,[1]Sheet8!$B:$G,6,0)</f>
        <v>8.22</v>
      </c>
      <c r="AL237" s="3" t="s">
        <v>53</v>
      </c>
      <c r="AM237" s="3" t="s">
        <v>57</v>
      </c>
      <c r="AN237" s="3">
        <v>1235.83</v>
      </c>
      <c r="AO237" s="3" t="s">
        <v>53</v>
      </c>
      <c r="AP237" s="3" t="s">
        <v>59</v>
      </c>
      <c r="AQ237" s="3">
        <v>42.39</v>
      </c>
      <c r="AR237" s="3" t="s">
        <v>53</v>
      </c>
      <c r="AS237" s="3" t="s">
        <v>60</v>
      </c>
      <c r="AT237" s="3">
        <v>8.22</v>
      </c>
    </row>
    <row r="238" s="3" customFormat="1" ht="15" customHeight="1" spans="1:46">
      <c r="A238" s="60">
        <v>213</v>
      </c>
      <c r="B238" s="61" t="s">
        <v>508</v>
      </c>
      <c r="C238" s="61" t="s">
        <v>509</v>
      </c>
      <c r="D238" s="61" t="s">
        <v>67</v>
      </c>
      <c r="E238" s="62">
        <v>29511</v>
      </c>
      <c r="F238" s="61" t="s">
        <v>510</v>
      </c>
      <c r="G238" s="61" t="s">
        <v>53</v>
      </c>
      <c r="H238" s="63" t="s">
        <v>54</v>
      </c>
      <c r="I238" s="64" t="s">
        <v>58</v>
      </c>
      <c r="J238" s="63" t="s">
        <v>56</v>
      </c>
      <c r="K238" s="65" t="s">
        <v>82</v>
      </c>
      <c r="L238" s="66">
        <v>2423.56</v>
      </c>
      <c r="M238" s="67" t="s">
        <v>58</v>
      </c>
      <c r="N238" s="67" t="s">
        <v>59</v>
      </c>
      <c r="O238" s="67">
        <v>147.1</v>
      </c>
      <c r="P238" s="68" t="s">
        <v>55</v>
      </c>
      <c r="Q238" s="67" t="s">
        <v>60</v>
      </c>
      <c r="R238" s="67">
        <v>13.95</v>
      </c>
      <c r="S238" s="69" t="s">
        <v>61</v>
      </c>
      <c r="T238" s="69">
        <v>250000</v>
      </c>
      <c r="U238" s="69"/>
      <c r="V238" s="69" t="s">
        <v>62</v>
      </c>
      <c r="W238" s="69">
        <v>7514.43</v>
      </c>
      <c r="X238" s="69"/>
      <c r="Y238" s="69" t="s">
        <v>63</v>
      </c>
      <c r="Z238" s="69">
        <v>1561</v>
      </c>
      <c r="AA238" s="69"/>
      <c r="AB238" s="70"/>
      <c r="AC238" s="69" t="s">
        <v>95</v>
      </c>
      <c r="AD238" s="69"/>
      <c r="AE238" s="71">
        <v>139311</v>
      </c>
      <c r="AF238" s="69"/>
      <c r="AG238" s="3" t="str">
        <f>B238&amp;C238</f>
        <v>CraigJensen</v>
      </c>
      <c r="AH238" s="3" t="str">
        <f>VLOOKUP($AG238,[1]Sheet8!$B:$G,1,0)</f>
        <v>CRAIGJENSEN</v>
      </c>
      <c r="AI238" s="3" t="str">
        <f>VLOOKUP($AG238,[1]Sheet8!$B:$G,4,0)</f>
        <v>EC</v>
      </c>
      <c r="AJ238" s="3" t="str">
        <f>VLOOKUP($AG238,[1]Sheet8!$B:$G,5,0)</f>
        <v>L093530003</v>
      </c>
      <c r="AK238" s="3">
        <f>VLOOKUP($AG238,[1]Sheet8!$B:$G,6,0)</f>
        <v>13.95</v>
      </c>
      <c r="AL238" s="3" t="s">
        <v>58</v>
      </c>
      <c r="AM238" s="3" t="s">
        <v>82</v>
      </c>
      <c r="AN238" s="3">
        <v>2423.56</v>
      </c>
      <c r="AO238" s="3" t="s">
        <v>58</v>
      </c>
      <c r="AP238" s="3" t="s">
        <v>59</v>
      </c>
      <c r="AQ238" s="3">
        <v>147.1</v>
      </c>
      <c r="AR238" s="3" t="s">
        <v>55</v>
      </c>
      <c r="AS238" s="3" t="s">
        <v>60</v>
      </c>
      <c r="AT238" s="3">
        <v>13.95</v>
      </c>
    </row>
    <row r="239" s="3" customFormat="1" ht="15" customHeight="1" spans="1:46">
      <c r="A239" s="60">
        <v>214</v>
      </c>
      <c r="B239" s="61" t="s">
        <v>474</v>
      </c>
      <c r="C239" s="61" t="s">
        <v>509</v>
      </c>
      <c r="D239" s="61" t="s">
        <v>67</v>
      </c>
      <c r="E239" s="62">
        <v>42372</v>
      </c>
      <c r="F239" s="61" t="s">
        <v>510</v>
      </c>
      <c r="G239" s="61" t="s">
        <v>68</v>
      </c>
      <c r="H239" s="63">
        <v>213</v>
      </c>
      <c r="I239" s="64" t="s">
        <v>58</v>
      </c>
      <c r="J239" s="63" t="s">
        <v>56</v>
      </c>
      <c r="K239" s="65"/>
      <c r="L239" s="66"/>
      <c r="M239" s="67"/>
      <c r="N239" s="67"/>
      <c r="O239" s="67"/>
      <c r="P239" s="68"/>
      <c r="Q239" s="67"/>
      <c r="R239" s="67"/>
      <c r="S239" s="69"/>
      <c r="T239" s="69"/>
      <c r="U239" s="69"/>
      <c r="V239" s="69"/>
      <c r="W239" s="69"/>
      <c r="X239" s="69"/>
      <c r="Y239" s="69"/>
      <c r="Z239" s="69"/>
      <c r="AA239" s="69"/>
      <c r="AB239" s="70"/>
      <c r="AC239" s="69"/>
      <c r="AD239" s="69"/>
      <c r="AE239" s="71"/>
      <c r="AF239" s="69"/>
    </row>
    <row r="240" s="3" customFormat="1" ht="15" customHeight="1" spans="1:46">
      <c r="A240" s="60">
        <v>215</v>
      </c>
      <c r="B240" s="61" t="s">
        <v>261</v>
      </c>
      <c r="C240" s="61" t="s">
        <v>509</v>
      </c>
      <c r="D240" s="61" t="s">
        <v>67</v>
      </c>
      <c r="E240" s="62">
        <v>41520</v>
      </c>
      <c r="F240" s="61" t="s">
        <v>510</v>
      </c>
      <c r="G240" s="61" t="s">
        <v>68</v>
      </c>
      <c r="H240" s="63">
        <v>213</v>
      </c>
      <c r="I240" s="64" t="s">
        <v>58</v>
      </c>
      <c r="J240" s="63" t="s">
        <v>56</v>
      </c>
      <c r="K240" s="65"/>
      <c r="L240" s="66"/>
      <c r="M240" s="67"/>
      <c r="N240" s="67"/>
      <c r="O240" s="67"/>
      <c r="P240" s="68"/>
      <c r="Q240" s="67"/>
      <c r="R240" s="67"/>
      <c r="S240" s="69"/>
      <c r="T240" s="69"/>
      <c r="U240" s="69"/>
      <c r="V240" s="69"/>
      <c r="W240" s="69"/>
      <c r="X240" s="69"/>
      <c r="Y240" s="69"/>
      <c r="Z240" s="69"/>
      <c r="AA240" s="69"/>
      <c r="AB240" s="70"/>
      <c r="AC240" s="69"/>
      <c r="AD240" s="69"/>
      <c r="AE240" s="71"/>
      <c r="AF240" s="69"/>
    </row>
    <row r="241" s="3" customFormat="1" ht="15" customHeight="1" spans="1:46">
      <c r="A241" s="60">
        <v>216</v>
      </c>
      <c r="B241" s="61" t="s">
        <v>511</v>
      </c>
      <c r="C241" s="61" t="s">
        <v>509</v>
      </c>
      <c r="D241" s="61" t="s">
        <v>52</v>
      </c>
      <c r="E241" s="62">
        <v>29042</v>
      </c>
      <c r="F241" s="61" t="s">
        <v>510</v>
      </c>
      <c r="G241" s="61" t="s">
        <v>85</v>
      </c>
      <c r="H241" s="63">
        <v>213</v>
      </c>
      <c r="I241" s="64" t="s">
        <v>58</v>
      </c>
      <c r="J241" s="63" t="s">
        <v>56</v>
      </c>
      <c r="K241" s="65"/>
      <c r="L241" s="66"/>
      <c r="M241" s="67"/>
      <c r="N241" s="67"/>
      <c r="O241" s="67"/>
      <c r="P241" s="68"/>
      <c r="Q241" s="67"/>
      <c r="R241" s="67"/>
      <c r="S241" s="69"/>
      <c r="T241" s="69"/>
      <c r="U241" s="69"/>
      <c r="V241" s="69"/>
      <c r="W241" s="69"/>
      <c r="X241" s="69"/>
      <c r="Y241" s="69"/>
      <c r="Z241" s="69"/>
      <c r="AA241" s="69"/>
      <c r="AB241" s="70"/>
      <c r="AC241" s="69"/>
      <c r="AD241" s="69"/>
      <c r="AE241" s="71"/>
      <c r="AF241" s="69"/>
    </row>
    <row r="242" s="3" customFormat="1" ht="15" customHeight="1" spans="1:46">
      <c r="A242" s="60">
        <v>217</v>
      </c>
      <c r="B242" s="61" t="s">
        <v>512</v>
      </c>
      <c r="C242" s="61" t="s">
        <v>509</v>
      </c>
      <c r="D242" s="61" t="s">
        <v>67</v>
      </c>
      <c r="E242" s="62">
        <v>40669</v>
      </c>
      <c r="F242" s="61" t="s">
        <v>510</v>
      </c>
      <c r="G242" s="61" t="s">
        <v>68</v>
      </c>
      <c r="H242" s="63">
        <v>213</v>
      </c>
      <c r="I242" s="64" t="s">
        <v>58</v>
      </c>
      <c r="J242" s="63" t="s">
        <v>56</v>
      </c>
      <c r="K242" s="65"/>
      <c r="L242" s="66"/>
      <c r="M242" s="67"/>
      <c r="N242" s="67"/>
      <c r="O242" s="67"/>
      <c r="P242" s="68"/>
      <c r="Q242" s="67"/>
      <c r="R242" s="67"/>
      <c r="S242" s="69"/>
      <c r="T242" s="69"/>
      <c r="U242" s="69"/>
      <c r="V242" s="69"/>
      <c r="W242" s="69"/>
      <c r="X242" s="69"/>
      <c r="Y242" s="69"/>
      <c r="Z242" s="69"/>
      <c r="AA242" s="69"/>
      <c r="AB242" s="70"/>
      <c r="AC242" s="69"/>
      <c r="AD242" s="69"/>
      <c r="AE242" s="71"/>
      <c r="AF242" s="69"/>
    </row>
    <row r="243" s="3" customFormat="1" ht="15" customHeight="1" spans="1:46">
      <c r="A243" s="60">
        <v>218</v>
      </c>
      <c r="B243" s="61" t="s">
        <v>453</v>
      </c>
      <c r="C243" s="61" t="s">
        <v>513</v>
      </c>
      <c r="D243" s="61" t="s">
        <v>67</v>
      </c>
      <c r="E243" s="62">
        <v>35719</v>
      </c>
      <c r="F243" s="61">
        <v>14534</v>
      </c>
      <c r="G243" s="61" t="s">
        <v>53</v>
      </c>
      <c r="H243" s="63" t="s">
        <v>54</v>
      </c>
      <c r="I243" s="64" t="s">
        <v>53</v>
      </c>
      <c r="J243" s="63" t="s">
        <v>56</v>
      </c>
      <c r="K243" s="65" t="s">
        <v>82</v>
      </c>
      <c r="L243" s="66">
        <v>781.79</v>
      </c>
      <c r="M243" s="67" t="s">
        <v>53</v>
      </c>
      <c r="N243" s="67" t="s">
        <v>59</v>
      </c>
      <c r="O243" s="67">
        <v>42.39</v>
      </c>
      <c r="P243" s="68" t="s">
        <v>53</v>
      </c>
      <c r="Q243" s="67" t="s">
        <v>60</v>
      </c>
      <c r="R243" s="67">
        <v>8.22</v>
      </c>
      <c r="S243" s="69" t="s">
        <v>61</v>
      </c>
      <c r="T243" s="69">
        <v>175000</v>
      </c>
      <c r="U243" s="69"/>
      <c r="V243" s="69" t="s">
        <v>62</v>
      </c>
      <c r="W243" s="69">
        <v>4838.96</v>
      </c>
      <c r="X243" s="69"/>
      <c r="Y243" s="69" t="s">
        <v>63</v>
      </c>
      <c r="Z243" s="69">
        <v>1005</v>
      </c>
      <c r="AA243" s="69"/>
      <c r="AB243" s="70"/>
      <c r="AC243" s="69" t="s">
        <v>514</v>
      </c>
      <c r="AD243" s="69"/>
      <c r="AE243" s="71">
        <v>89161</v>
      </c>
      <c r="AF243" s="69"/>
      <c r="AG243" s="3" t="str">
        <f>B243&amp;C243</f>
        <v>JonathanJobling</v>
      </c>
      <c r="AH243" s="3" t="str">
        <f>VLOOKUP($AG243,[1]Sheet8!$B:$G,1,0)</f>
        <v>JONATHANJOBLING</v>
      </c>
      <c r="AI243" s="3" t="str">
        <f>VLOOKUP($AG243,[1]Sheet8!$B:$G,4,0)</f>
        <v>EE</v>
      </c>
      <c r="AJ243" s="3" t="str">
        <f>VLOOKUP($AG243,[1]Sheet8!$B:$G,5,0)</f>
        <v>L093530003</v>
      </c>
      <c r="AK243" s="3">
        <f>VLOOKUP($AG243,[1]Sheet8!$B:$G,6,0)</f>
        <v>8.22</v>
      </c>
      <c r="AL243" s="3" t="s">
        <v>53</v>
      </c>
      <c r="AM243" s="3" t="s">
        <v>82</v>
      </c>
      <c r="AN243" s="3">
        <v>781.79</v>
      </c>
      <c r="AO243" s="3" t="s">
        <v>53</v>
      </c>
      <c r="AP243" s="3" t="s">
        <v>59</v>
      </c>
      <c r="AQ243" s="3">
        <v>42.39</v>
      </c>
      <c r="AR243" s="3" t="s">
        <v>53</v>
      </c>
      <c r="AS243" s="3" t="s">
        <v>60</v>
      </c>
      <c r="AT243" s="3">
        <v>8.22</v>
      </c>
    </row>
    <row r="244" s="3" customFormat="1" ht="15" customHeight="1" spans="1:46">
      <c r="A244" s="60">
        <v>219</v>
      </c>
      <c r="B244" s="61" t="s">
        <v>515</v>
      </c>
      <c r="C244" s="61" t="s">
        <v>516</v>
      </c>
      <c r="D244" s="61" t="s">
        <v>67</v>
      </c>
      <c r="E244" s="62">
        <v>30007</v>
      </c>
      <c r="F244" s="61">
        <v>80550</v>
      </c>
      <c r="G244" s="61" t="s">
        <v>53</v>
      </c>
      <c r="H244" s="63" t="s">
        <v>54</v>
      </c>
      <c r="I244" s="64" t="s">
        <v>58</v>
      </c>
      <c r="J244" s="63" t="s">
        <v>56</v>
      </c>
      <c r="K244" s="65" t="s">
        <v>82</v>
      </c>
      <c r="L244" s="66">
        <v>2423.56</v>
      </c>
      <c r="M244" s="67" t="s">
        <v>58</v>
      </c>
      <c r="N244" s="67" t="s">
        <v>59</v>
      </c>
      <c r="O244" s="67">
        <v>147.1</v>
      </c>
      <c r="P244" s="68" t="s">
        <v>58</v>
      </c>
      <c r="Q244" s="67" t="s">
        <v>60</v>
      </c>
      <c r="R244" s="67">
        <v>23</v>
      </c>
      <c r="S244" s="69" t="s">
        <v>61</v>
      </c>
      <c r="T244" s="69">
        <v>250000</v>
      </c>
      <c r="U244" s="69"/>
      <c r="V244" s="69" t="s">
        <v>62</v>
      </c>
      <c r="W244" s="69">
        <v>8167.08</v>
      </c>
      <c r="X244" s="69"/>
      <c r="Y244" s="69" t="s">
        <v>63</v>
      </c>
      <c r="Z244" s="69">
        <v>1696</v>
      </c>
      <c r="AA244" s="69"/>
      <c r="AB244" s="70"/>
      <c r="AC244" s="69" t="s">
        <v>95</v>
      </c>
      <c r="AD244" s="69"/>
      <c r="AE244" s="71">
        <v>158133</v>
      </c>
      <c r="AF244" s="69"/>
      <c r="AG244" s="3" t="str">
        <f>B244&amp;C244</f>
        <v>BradleyJones</v>
      </c>
      <c r="AH244" s="3" t="str">
        <f>VLOOKUP($AG244,[1]Sheet8!$B:$G,1,0)</f>
        <v>BRADLEYJONES</v>
      </c>
      <c r="AI244" s="3" t="str">
        <f>VLOOKUP($AG244,[1]Sheet8!$B:$G,4,0)</f>
        <v>FAM</v>
      </c>
      <c r="AJ244" s="3" t="str">
        <f>VLOOKUP($AG244,[1]Sheet8!$B:$G,5,0)</f>
        <v>L093530003</v>
      </c>
      <c r="AK244" s="3">
        <f>VLOOKUP($AG244,[1]Sheet8!$B:$G,6,0)</f>
        <v>23</v>
      </c>
      <c r="AL244" s="3" t="s">
        <v>58</v>
      </c>
      <c r="AM244" s="3" t="s">
        <v>82</v>
      </c>
      <c r="AN244" s="3">
        <v>2423.56</v>
      </c>
      <c r="AO244" s="3" t="s">
        <v>58</v>
      </c>
      <c r="AP244" s="3" t="s">
        <v>59</v>
      </c>
      <c r="AQ244" s="3">
        <v>147.1</v>
      </c>
      <c r="AR244" s="3" t="s">
        <v>58</v>
      </c>
      <c r="AS244" s="3" t="s">
        <v>60</v>
      </c>
      <c r="AT244" s="3">
        <v>23</v>
      </c>
    </row>
    <row r="245" s="3" customFormat="1" ht="15" customHeight="1" spans="1:46">
      <c r="A245" s="60">
        <v>220</v>
      </c>
      <c r="B245" s="61" t="s">
        <v>517</v>
      </c>
      <c r="C245" s="61" t="s">
        <v>516</v>
      </c>
      <c r="D245" s="61" t="s">
        <v>67</v>
      </c>
      <c r="E245" s="62">
        <v>43687</v>
      </c>
      <c r="F245" s="61">
        <v>80550</v>
      </c>
      <c r="G245" s="61" t="s">
        <v>68</v>
      </c>
      <c r="H245" s="63">
        <v>219</v>
      </c>
      <c r="I245" s="64" t="s">
        <v>58</v>
      </c>
      <c r="J245" s="63" t="s">
        <v>56</v>
      </c>
      <c r="K245" s="65"/>
      <c r="L245" s="66"/>
      <c r="M245" s="67"/>
      <c r="N245" s="67"/>
      <c r="O245" s="67"/>
      <c r="P245" s="68"/>
      <c r="Q245" s="67"/>
      <c r="R245" s="67"/>
      <c r="S245" s="69"/>
      <c r="T245" s="69"/>
      <c r="U245" s="69"/>
      <c r="V245" s="69"/>
      <c r="W245" s="69"/>
      <c r="X245" s="69"/>
      <c r="Y245" s="69"/>
      <c r="Z245" s="69"/>
      <c r="AA245" s="69"/>
      <c r="AB245" s="70"/>
      <c r="AC245" s="69"/>
      <c r="AD245" s="69"/>
      <c r="AE245" s="71"/>
      <c r="AF245" s="69"/>
    </row>
    <row r="246" s="3" customFormat="1" ht="15" customHeight="1" spans="1:46">
      <c r="A246" s="60">
        <v>221</v>
      </c>
      <c r="B246" s="61" t="s">
        <v>322</v>
      </c>
      <c r="C246" s="61" t="s">
        <v>516</v>
      </c>
      <c r="D246" s="61" t="s">
        <v>67</v>
      </c>
      <c r="E246" s="62">
        <v>40837</v>
      </c>
      <c r="F246" s="61">
        <v>80550</v>
      </c>
      <c r="G246" s="61" t="s">
        <v>68</v>
      </c>
      <c r="H246" s="63">
        <v>219</v>
      </c>
      <c r="I246" s="64" t="s">
        <v>58</v>
      </c>
      <c r="J246" s="63" t="s">
        <v>56</v>
      </c>
      <c r="K246" s="65"/>
      <c r="L246" s="66"/>
      <c r="M246" s="67"/>
      <c r="N246" s="67"/>
      <c r="O246" s="67"/>
      <c r="P246" s="68"/>
      <c r="Q246" s="67"/>
      <c r="R246" s="67"/>
      <c r="S246" s="69"/>
      <c r="T246" s="69"/>
      <c r="U246" s="69"/>
      <c r="V246" s="69"/>
      <c r="W246" s="69"/>
      <c r="X246" s="69"/>
      <c r="Y246" s="69"/>
      <c r="Z246" s="69"/>
      <c r="AA246" s="69"/>
      <c r="AB246" s="70"/>
      <c r="AC246" s="69"/>
      <c r="AD246" s="69"/>
      <c r="AE246" s="71"/>
      <c r="AF246" s="69"/>
    </row>
    <row r="247" s="3" customFormat="1" ht="15" customHeight="1" spans="1:46">
      <c r="A247" s="60">
        <v>222</v>
      </c>
      <c r="B247" s="61" t="s">
        <v>222</v>
      </c>
      <c r="C247" s="61" t="s">
        <v>516</v>
      </c>
      <c r="D247" s="61" t="s">
        <v>52</v>
      </c>
      <c r="E247" s="62">
        <v>30615</v>
      </c>
      <c r="F247" s="61">
        <v>80550</v>
      </c>
      <c r="G247" s="61" t="s">
        <v>85</v>
      </c>
      <c r="H247" s="63">
        <v>219</v>
      </c>
      <c r="I247" s="64" t="s">
        <v>58</v>
      </c>
      <c r="J247" s="63" t="s">
        <v>56</v>
      </c>
      <c r="K247" s="65"/>
      <c r="L247" s="66"/>
      <c r="M247" s="67"/>
      <c r="N247" s="67"/>
      <c r="O247" s="67"/>
      <c r="P247" s="68"/>
      <c r="Q247" s="67"/>
      <c r="R247" s="67"/>
      <c r="S247" s="69"/>
      <c r="T247" s="69"/>
      <c r="U247" s="69"/>
      <c r="V247" s="69"/>
      <c r="W247" s="69"/>
      <c r="X247" s="69"/>
      <c r="Y247" s="69"/>
      <c r="Z247" s="69"/>
      <c r="AA247" s="69"/>
      <c r="AB247" s="70"/>
      <c r="AC247" s="69"/>
      <c r="AD247" s="69"/>
      <c r="AE247" s="71"/>
      <c r="AF247" s="69"/>
    </row>
    <row r="248" s="3" customFormat="1" ht="15" customHeight="1" spans="1:46">
      <c r="A248" s="60">
        <v>223</v>
      </c>
      <c r="B248" s="61" t="s">
        <v>363</v>
      </c>
      <c r="C248" s="61" t="s">
        <v>518</v>
      </c>
      <c r="D248" s="61" t="s">
        <v>67</v>
      </c>
      <c r="E248" s="62">
        <v>36571</v>
      </c>
      <c r="F248" s="61">
        <v>60622</v>
      </c>
      <c r="G248" s="61" t="s">
        <v>53</v>
      </c>
      <c r="H248" s="63" t="s">
        <v>54</v>
      </c>
      <c r="I248" s="64" t="s">
        <v>53</v>
      </c>
      <c r="J248" s="63" t="s">
        <v>56</v>
      </c>
      <c r="K248" s="65" t="s">
        <v>57</v>
      </c>
      <c r="L248" s="66">
        <v>1235.83</v>
      </c>
      <c r="M248" s="67" t="s">
        <v>53</v>
      </c>
      <c r="N248" s="67" t="s">
        <v>59</v>
      </c>
      <c r="O248" s="67">
        <v>42.39</v>
      </c>
      <c r="P248" s="68" t="s">
        <v>53</v>
      </c>
      <c r="Q248" s="67" t="s">
        <v>60</v>
      </c>
      <c r="R248" s="67">
        <v>8.22</v>
      </c>
      <c r="S248" s="69" t="s">
        <v>61</v>
      </c>
      <c r="T248" s="69">
        <v>144000</v>
      </c>
      <c r="U248" s="69"/>
      <c r="V248" s="69" t="s">
        <v>62</v>
      </c>
      <c r="W248" s="69">
        <v>3990.76</v>
      </c>
      <c r="X248" s="69"/>
      <c r="Y248" s="69" t="s">
        <v>63</v>
      </c>
      <c r="Z248" s="69">
        <v>829</v>
      </c>
      <c r="AA248" s="69"/>
      <c r="AB248" s="70"/>
      <c r="AC248" s="69" t="s">
        <v>519</v>
      </c>
      <c r="AD248" s="69"/>
      <c r="AE248" s="71">
        <v>72907</v>
      </c>
      <c r="AF248" s="69"/>
      <c r="AG248" s="3" t="str">
        <f>B248&amp;C248</f>
        <v>PeterJordan</v>
      </c>
      <c r="AH248" s="3" t="str">
        <f>VLOOKUP($AG248,[1]Sheet8!$B:$G,1,0)</f>
        <v>PETERJORDAN</v>
      </c>
      <c r="AI248" s="3" t="str">
        <f>VLOOKUP($AG248,[1]Sheet8!$B:$G,4,0)</f>
        <v>EE</v>
      </c>
      <c r="AJ248" s="3" t="str">
        <f>VLOOKUP($AG248,[1]Sheet8!$B:$G,5,0)</f>
        <v>L093530003</v>
      </c>
      <c r="AK248" s="3">
        <f>VLOOKUP($AG248,[1]Sheet8!$B:$G,6,0)</f>
        <v>8.22</v>
      </c>
      <c r="AL248" s="3" t="s">
        <v>53</v>
      </c>
      <c r="AM248" s="3" t="s">
        <v>57</v>
      </c>
      <c r="AN248" s="3">
        <v>1235.83</v>
      </c>
      <c r="AO248" s="3" t="s">
        <v>53</v>
      </c>
      <c r="AP248" s="3" t="s">
        <v>59</v>
      </c>
      <c r="AQ248" s="3">
        <v>42.39</v>
      </c>
      <c r="AR248" s="3" t="s">
        <v>53</v>
      </c>
      <c r="AS248" s="3" t="s">
        <v>60</v>
      </c>
      <c r="AT248" s="3">
        <v>8.22</v>
      </c>
    </row>
    <row r="249" s="3" customFormat="1" ht="15" customHeight="1" spans="1:46">
      <c r="A249" s="60">
        <v>224</v>
      </c>
      <c r="B249" s="61" t="s">
        <v>520</v>
      </c>
      <c r="C249" s="61" t="s">
        <v>521</v>
      </c>
      <c r="D249" s="61" t="s">
        <v>52</v>
      </c>
      <c r="E249" s="62">
        <v>36499</v>
      </c>
      <c r="F249" s="61">
        <v>55408</v>
      </c>
      <c r="G249" s="61" t="s">
        <v>53</v>
      </c>
      <c r="H249" s="63" t="s">
        <v>54</v>
      </c>
      <c r="I249" s="64" t="s">
        <v>53</v>
      </c>
      <c r="J249" s="63" t="s">
        <v>56</v>
      </c>
      <c r="K249" s="65" t="s">
        <v>57</v>
      </c>
      <c r="L249" s="66">
        <v>1235.83</v>
      </c>
      <c r="M249" s="67" t="s">
        <v>53</v>
      </c>
      <c r="N249" s="67" t="s">
        <v>59</v>
      </c>
      <c r="O249" s="67">
        <v>42.39</v>
      </c>
      <c r="P249" s="68" t="s">
        <v>53</v>
      </c>
      <c r="Q249" s="67" t="s">
        <v>60</v>
      </c>
      <c r="R249" s="67">
        <v>8.22</v>
      </c>
      <c r="S249" s="69" t="s">
        <v>61</v>
      </c>
      <c r="T249" s="69">
        <v>160000</v>
      </c>
      <c r="U249" s="69"/>
      <c r="V249" s="69" t="s">
        <v>62</v>
      </c>
      <c r="W249" s="69">
        <v>4444.67</v>
      </c>
      <c r="X249" s="69"/>
      <c r="Y249" s="69" t="s">
        <v>63</v>
      </c>
      <c r="Z249" s="69">
        <v>923</v>
      </c>
      <c r="AA249" s="69"/>
      <c r="AB249" s="70"/>
      <c r="AC249" s="69" t="s">
        <v>522</v>
      </c>
      <c r="AD249" s="69"/>
      <c r="AE249" s="71">
        <v>80000</v>
      </c>
      <c r="AF249" s="69"/>
      <c r="AG249" s="3" t="str">
        <f>B249&amp;C249</f>
        <v>AmaleaJubara</v>
      </c>
      <c r="AH249" s="3" t="str">
        <f>VLOOKUP($AG249,[1]Sheet8!$B:$G,1,0)</f>
        <v>AMALEAJUBARA</v>
      </c>
      <c r="AI249" s="3" t="str">
        <f>VLOOKUP($AG249,[1]Sheet8!$B:$G,4,0)</f>
        <v>EE</v>
      </c>
      <c r="AJ249" s="3" t="str">
        <f>VLOOKUP($AG249,[1]Sheet8!$B:$G,5,0)</f>
        <v>L093530003</v>
      </c>
      <c r="AK249" s="3">
        <f>VLOOKUP($AG249,[1]Sheet8!$B:$G,6,0)</f>
        <v>8.22</v>
      </c>
      <c r="AL249" s="3" t="s">
        <v>53</v>
      </c>
      <c r="AM249" s="3" t="s">
        <v>57</v>
      </c>
      <c r="AN249" s="3">
        <v>1235.83</v>
      </c>
      <c r="AO249" s="3" t="s">
        <v>53</v>
      </c>
      <c r="AP249" s="3" t="s">
        <v>59</v>
      </c>
      <c r="AQ249" s="3">
        <v>42.39</v>
      </c>
      <c r="AR249" s="3" t="s">
        <v>53</v>
      </c>
      <c r="AS249" s="3" t="s">
        <v>60</v>
      </c>
      <c r="AT249" s="3">
        <v>8.22</v>
      </c>
    </row>
    <row r="250" s="3" customFormat="1" ht="15" customHeight="1" spans="1:46">
      <c r="A250" s="60">
        <v>225</v>
      </c>
      <c r="B250" s="61" t="s">
        <v>523</v>
      </c>
      <c r="C250" s="61" t="s">
        <v>186</v>
      </c>
      <c r="D250" s="61" t="s">
        <v>52</v>
      </c>
      <c r="E250" s="62">
        <v>34793</v>
      </c>
      <c r="F250" s="61">
        <v>68104</v>
      </c>
      <c r="G250" s="61" t="s">
        <v>53</v>
      </c>
      <c r="H250" s="63" t="s">
        <v>54</v>
      </c>
      <c r="I250" s="64" t="s">
        <v>53</v>
      </c>
      <c r="J250" s="63" t="s">
        <v>56</v>
      </c>
      <c r="K250" s="65" t="s">
        <v>82</v>
      </c>
      <c r="L250" s="66">
        <v>781.79</v>
      </c>
      <c r="M250" s="67" t="s">
        <v>53</v>
      </c>
      <c r="N250" s="67" t="s">
        <v>59</v>
      </c>
      <c r="O250" s="67">
        <v>42.39</v>
      </c>
      <c r="P250" s="68" t="s">
        <v>53</v>
      </c>
      <c r="Q250" s="67" t="s">
        <v>60</v>
      </c>
      <c r="R250" s="67">
        <v>8.22</v>
      </c>
      <c r="S250" s="69" t="s">
        <v>61</v>
      </c>
      <c r="T250" s="69">
        <v>129000</v>
      </c>
      <c r="U250" s="69"/>
      <c r="V250" s="69" t="s">
        <v>62</v>
      </c>
      <c r="W250" s="69">
        <v>3582.12</v>
      </c>
      <c r="X250" s="69"/>
      <c r="Y250" s="69" t="s">
        <v>63</v>
      </c>
      <c r="Z250" s="69">
        <v>744</v>
      </c>
      <c r="AA250" s="69"/>
      <c r="AB250" s="70"/>
      <c r="AC250" s="69" t="s">
        <v>106</v>
      </c>
      <c r="AD250" s="69"/>
      <c r="AE250" s="71">
        <v>70735.92</v>
      </c>
      <c r="AF250" s="69"/>
      <c r="AG250" s="3" t="str">
        <f>B250&amp;C250</f>
        <v>GraceKelly</v>
      </c>
      <c r="AH250" s="3" t="str">
        <f>VLOOKUP($AG250,[1]Sheet8!$B:$G,1,0)</f>
        <v>GRACEKELLY</v>
      </c>
      <c r="AI250" s="3" t="str">
        <f>VLOOKUP($AG250,[1]Sheet8!$B:$G,4,0)</f>
        <v>EE</v>
      </c>
      <c r="AJ250" s="3" t="str">
        <f>VLOOKUP($AG250,[1]Sheet8!$B:$G,5,0)</f>
        <v>L093530003</v>
      </c>
      <c r="AK250" s="3">
        <f>VLOOKUP($AG250,[1]Sheet8!$B:$G,6,0)</f>
        <v>8.22</v>
      </c>
      <c r="AL250" s="3" t="s">
        <v>53</v>
      </c>
      <c r="AM250" s="3" t="s">
        <v>82</v>
      </c>
      <c r="AN250" s="3">
        <v>781.79</v>
      </c>
      <c r="AO250" s="3" t="s">
        <v>53</v>
      </c>
      <c r="AP250" s="3" t="s">
        <v>59</v>
      </c>
      <c r="AQ250" s="3">
        <v>42.39</v>
      </c>
      <c r="AR250" s="3" t="s">
        <v>53</v>
      </c>
      <c r="AS250" s="3" t="s">
        <v>60</v>
      </c>
      <c r="AT250" s="3">
        <v>8.22</v>
      </c>
    </row>
    <row r="251" s="3" customFormat="1" ht="15" customHeight="1" spans="1:46">
      <c r="A251" s="60">
        <v>226</v>
      </c>
      <c r="B251" s="61" t="s">
        <v>524</v>
      </c>
      <c r="C251" s="61" t="s">
        <v>525</v>
      </c>
      <c r="D251" s="61" t="s">
        <v>52</v>
      </c>
      <c r="E251" s="62">
        <v>30971</v>
      </c>
      <c r="F251" s="61" t="s">
        <v>526</v>
      </c>
      <c r="G251" s="61" t="s">
        <v>53</v>
      </c>
      <c r="H251" s="63" t="s">
        <v>54</v>
      </c>
      <c r="I251" s="64" t="s">
        <v>58</v>
      </c>
      <c r="J251" s="63" t="s">
        <v>56</v>
      </c>
      <c r="K251" s="65" t="s">
        <v>82</v>
      </c>
      <c r="L251" s="66">
        <v>2423.56</v>
      </c>
      <c r="M251" s="67" t="s">
        <v>58</v>
      </c>
      <c r="N251" s="67" t="s">
        <v>59</v>
      </c>
      <c r="O251" s="67">
        <v>147.1</v>
      </c>
      <c r="P251" s="68" t="s">
        <v>58</v>
      </c>
      <c r="Q251" s="67" t="s">
        <v>60</v>
      </c>
      <c r="R251" s="67">
        <v>23</v>
      </c>
      <c r="S251" s="69" t="s">
        <v>61</v>
      </c>
      <c r="T251" s="69">
        <v>198000</v>
      </c>
      <c r="U251" s="69"/>
      <c r="V251" s="69" t="s">
        <v>62</v>
      </c>
      <c r="W251" s="69">
        <v>5484.22</v>
      </c>
      <c r="X251" s="69"/>
      <c r="Y251" s="69" t="s">
        <v>63</v>
      </c>
      <c r="Z251" s="69">
        <v>1139</v>
      </c>
      <c r="AA251" s="69"/>
      <c r="AB251" s="70"/>
      <c r="AC251" s="69" t="s">
        <v>197</v>
      </c>
      <c r="AD251" s="69"/>
      <c r="AE251" s="71">
        <v>101673</v>
      </c>
      <c r="AF251" s="69"/>
      <c r="AG251" s="3" t="str">
        <f>B251&amp;C251</f>
        <v>JillianKennelly</v>
      </c>
      <c r="AH251" s="3" t="str">
        <f>VLOOKUP($AG251,[1]Sheet8!$B:$G,1,0)</f>
        <v>JILLIANKENNELLY</v>
      </c>
      <c r="AI251" s="3" t="str">
        <f>VLOOKUP($AG251,[1]Sheet8!$B:$G,4,0)</f>
        <v>FAM</v>
      </c>
      <c r="AJ251" s="3" t="str">
        <f>VLOOKUP($AG251,[1]Sheet8!$B:$G,5,0)</f>
        <v>L093530003</v>
      </c>
      <c r="AK251" s="3">
        <f>VLOOKUP($AG251,[1]Sheet8!$B:$G,6,0)</f>
        <v>23</v>
      </c>
      <c r="AL251" s="3" t="s">
        <v>58</v>
      </c>
      <c r="AM251" s="3" t="s">
        <v>82</v>
      </c>
      <c r="AN251" s="3">
        <v>2423.56</v>
      </c>
      <c r="AO251" s="3" t="s">
        <v>58</v>
      </c>
      <c r="AP251" s="3" t="s">
        <v>59</v>
      </c>
      <c r="AQ251" s="3">
        <v>147.1</v>
      </c>
      <c r="AR251" s="3" t="s">
        <v>58</v>
      </c>
      <c r="AS251" s="3" t="s">
        <v>60</v>
      </c>
      <c r="AT251" s="3">
        <v>23</v>
      </c>
    </row>
    <row r="252" s="3" customFormat="1" ht="15" customHeight="1" spans="1:46">
      <c r="A252" s="60">
        <v>227</v>
      </c>
      <c r="B252" s="61" t="s">
        <v>527</v>
      </c>
      <c r="C252" s="61" t="s">
        <v>525</v>
      </c>
      <c r="D252" s="61" t="s">
        <v>52</v>
      </c>
      <c r="E252" s="62">
        <v>44739</v>
      </c>
      <c r="F252" s="61" t="s">
        <v>526</v>
      </c>
      <c r="G252" s="61" t="s">
        <v>68</v>
      </c>
      <c r="H252" s="63">
        <v>226</v>
      </c>
      <c r="I252" s="64" t="s">
        <v>58</v>
      </c>
      <c r="J252" s="63" t="s">
        <v>56</v>
      </c>
      <c r="K252" s="65"/>
      <c r="L252" s="66"/>
      <c r="M252" s="67"/>
      <c r="N252" s="67"/>
      <c r="O252" s="67"/>
      <c r="P252" s="68"/>
      <c r="Q252" s="67"/>
      <c r="R252" s="67"/>
      <c r="S252" s="69"/>
      <c r="T252" s="69"/>
      <c r="U252" s="69"/>
      <c r="V252" s="69"/>
      <c r="W252" s="69"/>
      <c r="X252" s="69"/>
      <c r="Y252" s="69"/>
      <c r="Z252" s="69"/>
      <c r="AA252" s="69"/>
      <c r="AB252" s="70"/>
      <c r="AC252" s="69"/>
      <c r="AD252" s="69"/>
      <c r="AE252" s="71"/>
      <c r="AF252" s="69"/>
    </row>
    <row r="253" s="3" customFormat="1" ht="15" customHeight="1" spans="1:46">
      <c r="A253" s="60">
        <v>228</v>
      </c>
      <c r="B253" s="61" t="s">
        <v>498</v>
      </c>
      <c r="C253" s="61" t="s">
        <v>525</v>
      </c>
      <c r="D253" s="61" t="s">
        <v>52</v>
      </c>
      <c r="E253" s="62">
        <v>42696</v>
      </c>
      <c r="F253" s="61" t="s">
        <v>526</v>
      </c>
      <c r="G253" s="61" t="s">
        <v>68</v>
      </c>
      <c r="H253" s="63">
        <v>226</v>
      </c>
      <c r="I253" s="64" t="s">
        <v>58</v>
      </c>
      <c r="J253" s="63" t="s">
        <v>56</v>
      </c>
      <c r="K253" s="65"/>
      <c r="L253" s="66"/>
      <c r="M253" s="67"/>
      <c r="N253" s="67"/>
      <c r="O253" s="67"/>
      <c r="P253" s="68"/>
      <c r="Q253" s="67"/>
      <c r="R253" s="67"/>
      <c r="S253" s="69"/>
      <c r="T253" s="69"/>
      <c r="U253" s="69"/>
      <c r="V253" s="69"/>
      <c r="W253" s="69"/>
      <c r="X253" s="69"/>
      <c r="Y253" s="69"/>
      <c r="Z253" s="69"/>
      <c r="AA253" s="69"/>
      <c r="AB253" s="70"/>
      <c r="AC253" s="69"/>
      <c r="AD253" s="69"/>
      <c r="AE253" s="71"/>
      <c r="AF253" s="69"/>
    </row>
    <row r="254" s="3" customFormat="1" ht="15" customHeight="1" spans="1:46">
      <c r="A254" s="60">
        <v>229</v>
      </c>
      <c r="B254" s="61" t="s">
        <v>261</v>
      </c>
      <c r="C254" s="61" t="s">
        <v>525</v>
      </c>
      <c r="D254" s="61" t="s">
        <v>67</v>
      </c>
      <c r="E254" s="62">
        <v>30367</v>
      </c>
      <c r="F254" s="61" t="s">
        <v>526</v>
      </c>
      <c r="G254" s="61" t="s">
        <v>85</v>
      </c>
      <c r="H254" s="63">
        <v>226</v>
      </c>
      <c r="I254" s="64" t="s">
        <v>58</v>
      </c>
      <c r="J254" s="63" t="s">
        <v>56</v>
      </c>
      <c r="K254" s="65"/>
      <c r="L254" s="66"/>
      <c r="M254" s="67"/>
      <c r="N254" s="67"/>
      <c r="O254" s="67"/>
      <c r="P254" s="68"/>
      <c r="Q254" s="67"/>
      <c r="R254" s="67"/>
      <c r="S254" s="69"/>
      <c r="T254" s="69"/>
      <c r="U254" s="69"/>
      <c r="V254" s="69"/>
      <c r="W254" s="69"/>
      <c r="X254" s="69"/>
      <c r="Y254" s="69"/>
      <c r="Z254" s="69"/>
      <c r="AA254" s="69"/>
      <c r="AB254" s="70"/>
      <c r="AC254" s="69"/>
      <c r="AD254" s="69"/>
      <c r="AE254" s="71"/>
      <c r="AF254" s="69"/>
    </row>
    <row r="255" s="3" customFormat="1" ht="15" customHeight="1" spans="1:46">
      <c r="A255" s="60">
        <v>230</v>
      </c>
      <c r="B255" s="61" t="s">
        <v>528</v>
      </c>
      <c r="C255" s="61" t="s">
        <v>529</v>
      </c>
      <c r="D255" s="61" t="s">
        <v>67</v>
      </c>
      <c r="E255" s="62">
        <v>29557</v>
      </c>
      <c r="F255" s="61">
        <v>48088</v>
      </c>
      <c r="G255" s="61" t="s">
        <v>53</v>
      </c>
      <c r="H255" s="63" t="s">
        <v>54</v>
      </c>
      <c r="I255" s="64" t="s">
        <v>53</v>
      </c>
      <c r="J255" s="63" t="s">
        <v>56</v>
      </c>
      <c r="K255" s="65" t="s">
        <v>57</v>
      </c>
      <c r="L255" s="66">
        <v>1235.83</v>
      </c>
      <c r="M255" s="67" t="s">
        <v>53</v>
      </c>
      <c r="N255" s="67" t="s">
        <v>59</v>
      </c>
      <c r="O255" s="67">
        <v>42.39</v>
      </c>
      <c r="P255" s="68" t="s">
        <v>53</v>
      </c>
      <c r="Q255" s="67" t="s">
        <v>60</v>
      </c>
      <c r="R255" s="67">
        <v>8.22</v>
      </c>
      <c r="S255" s="69" t="s">
        <v>61</v>
      </c>
      <c r="T255" s="69">
        <v>175000</v>
      </c>
      <c r="U255" s="69"/>
      <c r="V255" s="69" t="s">
        <v>62</v>
      </c>
      <c r="W255" s="69">
        <v>4860.19</v>
      </c>
      <c r="X255" s="69"/>
      <c r="Y255" s="69" t="s">
        <v>63</v>
      </c>
      <c r="Z255" s="69">
        <v>1009</v>
      </c>
      <c r="AA255" s="69"/>
      <c r="AB255" s="70"/>
      <c r="AC255" s="69" t="s">
        <v>530</v>
      </c>
      <c r="AD255" s="69"/>
      <c r="AE255" s="71">
        <v>90103</v>
      </c>
      <c r="AF255" s="69"/>
      <c r="AG255" s="3" t="str">
        <f>B255&amp;C255</f>
        <v>JeffreyKetz</v>
      </c>
      <c r="AH255" s="3" t="str">
        <f>VLOOKUP($AG255,[1]Sheet8!$B:$G,1,0)</f>
        <v>JEFFREYKETZ</v>
      </c>
      <c r="AI255" s="3" t="str">
        <f>VLOOKUP($AG255,[1]Sheet8!$B:$G,4,0)</f>
        <v>EE</v>
      </c>
      <c r="AJ255" s="3" t="str">
        <f>VLOOKUP($AG255,[1]Sheet8!$B:$G,5,0)</f>
        <v>L093530003</v>
      </c>
      <c r="AK255" s="3">
        <f>VLOOKUP($AG255,[1]Sheet8!$B:$G,6,0)</f>
        <v>8.22</v>
      </c>
      <c r="AL255" s="3" t="s">
        <v>53</v>
      </c>
      <c r="AM255" s="3" t="s">
        <v>57</v>
      </c>
      <c r="AN255" s="3">
        <v>1235.83</v>
      </c>
      <c r="AO255" s="3" t="s">
        <v>53</v>
      </c>
      <c r="AP255" s="3" t="s">
        <v>59</v>
      </c>
      <c r="AQ255" s="3">
        <v>42.39</v>
      </c>
      <c r="AR255" s="3" t="s">
        <v>53</v>
      </c>
      <c r="AS255" s="3" t="s">
        <v>60</v>
      </c>
      <c r="AT255" s="3">
        <v>8.22</v>
      </c>
    </row>
    <row r="256" s="3" customFormat="1" ht="15" customHeight="1" spans="1:46">
      <c r="A256" s="60">
        <v>231</v>
      </c>
      <c r="B256" s="61" t="s">
        <v>486</v>
      </c>
      <c r="C256" s="61" t="s">
        <v>531</v>
      </c>
      <c r="D256" s="61" t="s">
        <v>67</v>
      </c>
      <c r="E256" s="62">
        <v>31858</v>
      </c>
      <c r="F256" s="61">
        <v>11710</v>
      </c>
      <c r="G256" s="61" t="s">
        <v>53</v>
      </c>
      <c r="H256" s="63" t="s">
        <v>54</v>
      </c>
      <c r="I256" s="64" t="s">
        <v>58</v>
      </c>
      <c r="J256" s="63" t="s">
        <v>56</v>
      </c>
      <c r="K256" s="65" t="s">
        <v>82</v>
      </c>
      <c r="L256" s="66">
        <v>2423.56</v>
      </c>
      <c r="M256" s="67" t="s">
        <v>58</v>
      </c>
      <c r="N256" s="67" t="s">
        <v>59</v>
      </c>
      <c r="O256" s="67">
        <v>147.1</v>
      </c>
      <c r="P256" s="68" t="s">
        <v>58</v>
      </c>
      <c r="Q256" s="67" t="s">
        <v>60</v>
      </c>
      <c r="R256" s="67">
        <v>23</v>
      </c>
      <c r="S256" s="69" t="s">
        <v>61</v>
      </c>
      <c r="T256" s="69">
        <v>247000</v>
      </c>
      <c r="U256" s="69"/>
      <c r="V256" s="69" t="s">
        <v>62</v>
      </c>
      <c r="W256" s="69">
        <v>6846.68</v>
      </c>
      <c r="X256" s="69"/>
      <c r="Y256" s="69" t="s">
        <v>63</v>
      </c>
      <c r="Z256" s="69">
        <v>1422</v>
      </c>
      <c r="AA256" s="69"/>
      <c r="AB256" s="70"/>
      <c r="AC256" s="69" t="s">
        <v>98</v>
      </c>
      <c r="AD256" s="69"/>
      <c r="AE256" s="71">
        <v>126931</v>
      </c>
      <c r="AF256" s="69"/>
      <c r="AG256" s="3" t="str">
        <f>B256&amp;C256</f>
        <v>WilliamKimbark</v>
      </c>
      <c r="AH256" s="3" t="str">
        <f>VLOOKUP($AG256,[1]Sheet8!$B:$G,1,0)</f>
        <v>WILLIAMKIMBARK</v>
      </c>
      <c r="AI256" s="3" t="str">
        <f>VLOOKUP($AG256,[1]Sheet8!$B:$G,4,0)</f>
        <v>FAM</v>
      </c>
      <c r="AJ256" s="3" t="str">
        <f>VLOOKUP($AG256,[1]Sheet8!$B:$G,5,0)</f>
        <v>L093530003</v>
      </c>
      <c r="AK256" s="3">
        <f>VLOOKUP($AG256,[1]Sheet8!$B:$G,6,0)</f>
        <v>23</v>
      </c>
      <c r="AL256" s="3" t="s">
        <v>58</v>
      </c>
      <c r="AM256" s="3" t="s">
        <v>82</v>
      </c>
      <c r="AN256" s="3">
        <v>2423.56</v>
      </c>
      <c r="AO256" s="3" t="s">
        <v>58</v>
      </c>
      <c r="AP256" s="3" t="s">
        <v>59</v>
      </c>
      <c r="AQ256" s="3">
        <v>147.1</v>
      </c>
      <c r="AR256" s="3" t="s">
        <v>58</v>
      </c>
      <c r="AS256" s="3" t="s">
        <v>60</v>
      </c>
      <c r="AT256" s="3">
        <v>23</v>
      </c>
    </row>
    <row r="257" s="3" customFormat="1" ht="15" customHeight="1" spans="1:46">
      <c r="A257" s="60">
        <v>232</v>
      </c>
      <c r="B257" s="61" t="s">
        <v>532</v>
      </c>
      <c r="C257" s="61" t="s">
        <v>531</v>
      </c>
      <c r="D257" s="61" t="s">
        <v>67</v>
      </c>
      <c r="E257" s="62">
        <v>44227</v>
      </c>
      <c r="F257" s="61">
        <v>11710</v>
      </c>
      <c r="G257" s="61" t="s">
        <v>68</v>
      </c>
      <c r="H257" s="63">
        <v>231</v>
      </c>
      <c r="I257" s="64" t="s">
        <v>58</v>
      </c>
      <c r="J257" s="63" t="s">
        <v>56</v>
      </c>
      <c r="K257" s="65"/>
      <c r="L257" s="66"/>
      <c r="M257" s="67"/>
      <c r="N257" s="67"/>
      <c r="O257" s="67"/>
      <c r="P257" s="68"/>
      <c r="Q257" s="67"/>
      <c r="R257" s="67"/>
      <c r="S257" s="69"/>
      <c r="T257" s="69"/>
      <c r="U257" s="69"/>
      <c r="V257" s="69"/>
      <c r="W257" s="69"/>
      <c r="X257" s="69"/>
      <c r="Y257" s="69"/>
      <c r="Z257" s="69"/>
      <c r="AA257" s="69"/>
      <c r="AB257" s="70"/>
      <c r="AC257" s="69"/>
      <c r="AD257" s="69"/>
      <c r="AE257" s="71"/>
      <c r="AF257" s="69"/>
    </row>
    <row r="258" s="3" customFormat="1" ht="15" customHeight="1" spans="1:46">
      <c r="A258" s="60">
        <v>233</v>
      </c>
      <c r="B258" s="61" t="s">
        <v>533</v>
      </c>
      <c r="C258" s="61" t="s">
        <v>531</v>
      </c>
      <c r="D258" s="61" t="s">
        <v>67</v>
      </c>
      <c r="E258" s="62">
        <v>43163</v>
      </c>
      <c r="F258" s="61">
        <v>11710</v>
      </c>
      <c r="G258" s="61" t="s">
        <v>68</v>
      </c>
      <c r="H258" s="63">
        <v>231</v>
      </c>
      <c r="I258" s="64" t="s">
        <v>58</v>
      </c>
      <c r="J258" s="63" t="s">
        <v>56</v>
      </c>
      <c r="K258" s="65"/>
      <c r="L258" s="66"/>
      <c r="M258" s="67"/>
      <c r="N258" s="67"/>
      <c r="O258" s="67"/>
      <c r="P258" s="68"/>
      <c r="Q258" s="67"/>
      <c r="R258" s="67"/>
      <c r="S258" s="69"/>
      <c r="T258" s="69"/>
      <c r="U258" s="69"/>
      <c r="V258" s="69"/>
      <c r="W258" s="69"/>
      <c r="X258" s="69"/>
      <c r="Y258" s="69"/>
      <c r="Z258" s="69"/>
      <c r="AA258" s="69"/>
      <c r="AB258" s="70"/>
      <c r="AC258" s="69"/>
      <c r="AD258" s="69"/>
      <c r="AE258" s="71"/>
      <c r="AF258" s="69"/>
    </row>
    <row r="259" s="3" customFormat="1" ht="15" customHeight="1" spans="1:46">
      <c r="A259" s="60">
        <v>234</v>
      </c>
      <c r="B259" s="61" t="s">
        <v>534</v>
      </c>
      <c r="C259" s="61" t="s">
        <v>531</v>
      </c>
      <c r="D259" s="61" t="s">
        <v>52</v>
      </c>
      <c r="E259" s="62">
        <v>31778</v>
      </c>
      <c r="F259" s="61">
        <v>11710</v>
      </c>
      <c r="G259" s="61" t="s">
        <v>85</v>
      </c>
      <c r="H259" s="63">
        <v>231</v>
      </c>
      <c r="I259" s="64" t="s">
        <v>58</v>
      </c>
      <c r="J259" s="63" t="s">
        <v>56</v>
      </c>
      <c r="K259" s="65"/>
      <c r="L259" s="66"/>
      <c r="M259" s="67"/>
      <c r="N259" s="67"/>
      <c r="O259" s="67"/>
      <c r="P259" s="68"/>
      <c r="Q259" s="67"/>
      <c r="R259" s="67"/>
      <c r="S259" s="69"/>
      <c r="T259" s="69"/>
      <c r="U259" s="69"/>
      <c r="V259" s="69"/>
      <c r="W259" s="69"/>
      <c r="X259" s="69"/>
      <c r="Y259" s="69"/>
      <c r="Z259" s="69"/>
      <c r="AA259" s="69"/>
      <c r="AB259" s="70"/>
      <c r="AC259" s="69"/>
      <c r="AD259" s="69"/>
      <c r="AE259" s="71"/>
      <c r="AF259" s="69"/>
    </row>
    <row r="260" s="3" customFormat="1" ht="15" customHeight="1" spans="1:46">
      <c r="A260" s="60">
        <v>235</v>
      </c>
      <c r="B260" s="61" t="s">
        <v>535</v>
      </c>
      <c r="C260" s="61" t="s">
        <v>536</v>
      </c>
      <c r="D260" s="61" t="s">
        <v>67</v>
      </c>
      <c r="E260" s="62">
        <v>34970</v>
      </c>
      <c r="F260" s="61">
        <v>38655</v>
      </c>
      <c r="G260" s="61" t="s">
        <v>53</v>
      </c>
      <c r="H260" s="63" t="s">
        <v>54</v>
      </c>
      <c r="I260" s="64" t="s">
        <v>53</v>
      </c>
      <c r="J260" s="63" t="s">
        <v>56</v>
      </c>
      <c r="K260" s="65" t="s">
        <v>57</v>
      </c>
      <c r="L260" s="66">
        <v>1235.83</v>
      </c>
      <c r="M260" s="67" t="s">
        <v>81</v>
      </c>
      <c r="N260" s="67" t="s">
        <v>59</v>
      </c>
      <c r="O260" s="67">
        <v>84.72</v>
      </c>
      <c r="P260" s="68" t="s">
        <v>81</v>
      </c>
      <c r="Q260" s="67" t="s">
        <v>60</v>
      </c>
      <c r="R260" s="67">
        <v>16.48</v>
      </c>
      <c r="S260" s="69" t="s">
        <v>61</v>
      </c>
      <c r="T260" s="69">
        <v>190000</v>
      </c>
      <c r="U260" s="69"/>
      <c r="V260" s="69" t="s">
        <v>62</v>
      </c>
      <c r="W260" s="69">
        <v>5278.04</v>
      </c>
      <c r="X260" s="69"/>
      <c r="Y260" s="69" t="s">
        <v>63</v>
      </c>
      <c r="Z260" s="69">
        <v>1096</v>
      </c>
      <c r="AA260" s="69"/>
      <c r="AB260" s="70"/>
      <c r="AC260" s="69" t="s">
        <v>537</v>
      </c>
      <c r="AD260" s="69"/>
      <c r="AE260" s="71">
        <v>101470</v>
      </c>
      <c r="AF260" s="69"/>
      <c r="AG260" s="3" t="str">
        <f>B260&amp;C260</f>
        <v>JonahKing</v>
      </c>
      <c r="AH260" s="3" t="str">
        <f>VLOOKUP($AG260,[1]Sheet8!$B:$G,1,0)</f>
        <v>JONAHKING</v>
      </c>
      <c r="AI260" s="3" t="str">
        <f>VLOOKUP($AG260,[1]Sheet8!$B:$G,4,0)</f>
        <v>ES</v>
      </c>
      <c r="AJ260" s="3" t="str">
        <f>VLOOKUP($AG260,[1]Sheet8!$B:$G,5,0)</f>
        <v>L093530003</v>
      </c>
      <c r="AK260" s="3">
        <f>VLOOKUP($AG260,[1]Sheet8!$B:$G,6,0)</f>
        <v>16.48</v>
      </c>
      <c r="AL260" s="3" t="s">
        <v>53</v>
      </c>
      <c r="AM260" s="3" t="s">
        <v>57</v>
      </c>
      <c r="AN260" s="3">
        <v>1235.83</v>
      </c>
      <c r="AO260" s="3" t="s">
        <v>81</v>
      </c>
      <c r="AP260" s="3" t="s">
        <v>59</v>
      </c>
      <c r="AQ260" s="3">
        <v>84.72</v>
      </c>
      <c r="AR260" s="3" t="s">
        <v>81</v>
      </c>
      <c r="AS260" s="3" t="s">
        <v>60</v>
      </c>
      <c r="AT260" s="3">
        <v>16.48</v>
      </c>
    </row>
    <row r="261" s="3" customFormat="1" ht="15" customHeight="1" spans="1:46">
      <c r="A261" s="60">
        <v>236</v>
      </c>
      <c r="B261" s="61" t="s">
        <v>538</v>
      </c>
      <c r="C261" s="61" t="s">
        <v>539</v>
      </c>
      <c r="D261" s="61" t="s">
        <v>52</v>
      </c>
      <c r="E261" s="62">
        <v>28690</v>
      </c>
      <c r="F261" s="61">
        <v>95008</v>
      </c>
      <c r="G261" s="61" t="s">
        <v>53</v>
      </c>
      <c r="H261" s="63" t="s">
        <v>54</v>
      </c>
      <c r="I261" s="64" t="s">
        <v>58</v>
      </c>
      <c r="J261" s="63" t="s">
        <v>56</v>
      </c>
      <c r="K261" s="65" t="s">
        <v>82</v>
      </c>
      <c r="L261" s="66">
        <v>2423.56</v>
      </c>
      <c r="M261" s="67" t="s">
        <v>58</v>
      </c>
      <c r="N261" s="67" t="s">
        <v>59</v>
      </c>
      <c r="O261" s="67">
        <v>147.1</v>
      </c>
      <c r="P261" s="68" t="s">
        <v>58</v>
      </c>
      <c r="Q261" s="67" t="s">
        <v>60</v>
      </c>
      <c r="R261" s="67">
        <v>23</v>
      </c>
      <c r="S261" s="69" t="s">
        <v>61</v>
      </c>
      <c r="T261" s="69">
        <v>250000</v>
      </c>
      <c r="U261" s="69"/>
      <c r="V261" s="69" t="s">
        <v>62</v>
      </c>
      <c r="W261" s="69">
        <v>10000</v>
      </c>
      <c r="X261" s="69"/>
      <c r="Y261" s="69" t="s">
        <v>63</v>
      </c>
      <c r="Z261" s="69">
        <v>2000</v>
      </c>
      <c r="AA261" s="69"/>
      <c r="AB261" s="70"/>
      <c r="AC261" s="69" t="s">
        <v>540</v>
      </c>
      <c r="AD261" s="69"/>
      <c r="AE261" s="71">
        <v>192301</v>
      </c>
      <c r="AF261" s="69"/>
      <c r="AG261" s="3" t="str">
        <f>B261&amp;C261</f>
        <v>EkaterinaKingston</v>
      </c>
      <c r="AH261" s="3" t="str">
        <f>VLOOKUP($AG261,[1]Sheet8!$B:$G,1,0)</f>
        <v>EKATERINAKINGSTON</v>
      </c>
      <c r="AI261" s="3" t="str">
        <f>VLOOKUP($AG261,[1]Sheet8!$B:$G,4,0)</f>
        <v>FAM</v>
      </c>
      <c r="AJ261" s="3" t="str">
        <f>VLOOKUP($AG261,[1]Sheet8!$B:$G,5,0)</f>
        <v>L093530003</v>
      </c>
      <c r="AK261" s="3">
        <f>VLOOKUP($AG261,[1]Sheet8!$B:$G,6,0)</f>
        <v>23</v>
      </c>
      <c r="AL261" s="3" t="s">
        <v>58</v>
      </c>
      <c r="AM261" s="3" t="s">
        <v>82</v>
      </c>
      <c r="AN261" s="3">
        <v>2423.56</v>
      </c>
      <c r="AO261" s="3" t="s">
        <v>58</v>
      </c>
      <c r="AP261" s="3" t="s">
        <v>59</v>
      </c>
      <c r="AQ261" s="3">
        <v>147.1</v>
      </c>
      <c r="AR261" s="3" t="s">
        <v>58</v>
      </c>
      <c r="AS261" s="3" t="s">
        <v>60</v>
      </c>
      <c r="AT261" s="3">
        <v>23</v>
      </c>
    </row>
    <row r="262" s="3" customFormat="1" ht="15" customHeight="1" spans="1:46">
      <c r="A262" s="60">
        <v>237</v>
      </c>
      <c r="B262" s="61" t="s">
        <v>124</v>
      </c>
      <c r="C262" s="61" t="s">
        <v>539</v>
      </c>
      <c r="D262" s="61" t="s">
        <v>52</v>
      </c>
      <c r="E262" s="62">
        <v>40381</v>
      </c>
      <c r="F262" s="61">
        <v>95008</v>
      </c>
      <c r="G262" s="61" t="s">
        <v>68</v>
      </c>
      <c r="H262" s="63">
        <v>236</v>
      </c>
      <c r="I262" s="64" t="s">
        <v>58</v>
      </c>
      <c r="J262" s="63" t="s">
        <v>56</v>
      </c>
      <c r="K262" s="65"/>
      <c r="L262" s="66"/>
      <c r="M262" s="67"/>
      <c r="N262" s="67"/>
      <c r="O262" s="67"/>
      <c r="P262" s="68"/>
      <c r="Q262" s="67"/>
      <c r="R262" s="67"/>
      <c r="S262" s="69"/>
      <c r="T262" s="69"/>
      <c r="U262" s="69"/>
      <c r="V262" s="69"/>
      <c r="W262" s="69"/>
      <c r="X262" s="69"/>
      <c r="Y262" s="69"/>
      <c r="Z262" s="69"/>
      <c r="AA262" s="69"/>
      <c r="AB262" s="70"/>
      <c r="AC262" s="69"/>
      <c r="AD262" s="69"/>
      <c r="AE262" s="71"/>
      <c r="AF262" s="69"/>
    </row>
    <row r="263" s="3" customFormat="1" ht="15" customHeight="1" spans="1:46">
      <c r="A263" s="60">
        <v>238</v>
      </c>
      <c r="B263" s="61" t="s">
        <v>391</v>
      </c>
      <c r="C263" s="61" t="s">
        <v>539</v>
      </c>
      <c r="D263" s="61" t="s">
        <v>67</v>
      </c>
      <c r="E263" s="62">
        <v>25045</v>
      </c>
      <c r="F263" s="61">
        <v>95008</v>
      </c>
      <c r="G263" s="61" t="s">
        <v>85</v>
      </c>
      <c r="H263" s="63">
        <v>236</v>
      </c>
      <c r="I263" s="64" t="s">
        <v>58</v>
      </c>
      <c r="J263" s="63" t="s">
        <v>56</v>
      </c>
      <c r="K263" s="65"/>
      <c r="L263" s="66"/>
      <c r="M263" s="67"/>
      <c r="N263" s="67"/>
      <c r="O263" s="67"/>
      <c r="P263" s="68"/>
      <c r="Q263" s="67"/>
      <c r="R263" s="67"/>
      <c r="S263" s="69"/>
      <c r="T263" s="69"/>
      <c r="U263" s="69"/>
      <c r="V263" s="69"/>
      <c r="W263" s="69"/>
      <c r="X263" s="69"/>
      <c r="Y263" s="69"/>
      <c r="Z263" s="69"/>
      <c r="AA263" s="69"/>
      <c r="AB263" s="70"/>
      <c r="AC263" s="69"/>
      <c r="AD263" s="69"/>
      <c r="AE263" s="71"/>
      <c r="AF263" s="69"/>
    </row>
    <row r="264" s="3" customFormat="1" ht="15" customHeight="1" spans="1:46">
      <c r="A264" s="60">
        <v>239</v>
      </c>
      <c r="B264" s="61" t="s">
        <v>215</v>
      </c>
      <c r="C264" s="61" t="s">
        <v>541</v>
      </c>
      <c r="D264" s="61" t="s">
        <v>67</v>
      </c>
      <c r="E264" s="62">
        <v>32122</v>
      </c>
      <c r="F264" s="61">
        <v>90069</v>
      </c>
      <c r="G264" s="61" t="s">
        <v>53</v>
      </c>
      <c r="H264" s="63" t="s">
        <v>54</v>
      </c>
      <c r="I264" s="64" t="s">
        <v>53</v>
      </c>
      <c r="J264" s="63" t="s">
        <v>56</v>
      </c>
      <c r="K264" s="65" t="s">
        <v>57</v>
      </c>
      <c r="L264" s="66">
        <v>1235.83</v>
      </c>
      <c r="M264" s="67" t="s">
        <v>53</v>
      </c>
      <c r="N264" s="67" t="s">
        <v>59</v>
      </c>
      <c r="O264" s="67">
        <v>42.39</v>
      </c>
      <c r="P264" s="68" t="s">
        <v>53</v>
      </c>
      <c r="Q264" s="67" t="s">
        <v>60</v>
      </c>
      <c r="R264" s="67">
        <v>8.22</v>
      </c>
      <c r="S264" s="69" t="s">
        <v>61</v>
      </c>
      <c r="T264" s="69">
        <v>250000</v>
      </c>
      <c r="U264" s="69"/>
      <c r="V264" s="69" t="s">
        <v>62</v>
      </c>
      <c r="W264" s="69">
        <v>10000</v>
      </c>
      <c r="X264" s="69"/>
      <c r="Y264" s="69" t="s">
        <v>63</v>
      </c>
      <c r="Z264" s="69">
        <v>2000</v>
      </c>
      <c r="AA264" s="69"/>
      <c r="AB264" s="70"/>
      <c r="AC264" s="69" t="s">
        <v>542</v>
      </c>
      <c r="AD264" s="69"/>
      <c r="AE264" s="71">
        <v>208060</v>
      </c>
      <c r="AF264" s="69"/>
      <c r="AG264" s="3" t="str">
        <f>B264&amp;C264</f>
        <v>DavidKitaruth</v>
      </c>
      <c r="AH264" s="3" t="str">
        <f>VLOOKUP($AG264,[1]Sheet8!$B:$G,1,0)</f>
        <v>DAVIDKITARUTH</v>
      </c>
      <c r="AI264" s="3" t="str">
        <f>VLOOKUP($AG264,[1]Sheet8!$B:$G,4,0)</f>
        <v>EE</v>
      </c>
      <c r="AJ264" s="3" t="str">
        <f>VLOOKUP($AG264,[1]Sheet8!$B:$G,5,0)</f>
        <v>L093530003</v>
      </c>
      <c r="AK264" s="3">
        <f>VLOOKUP($AG264,[1]Sheet8!$B:$G,6,0)</f>
        <v>8.22</v>
      </c>
      <c r="AL264" s="3" t="s">
        <v>53</v>
      </c>
      <c r="AM264" s="3" t="s">
        <v>57</v>
      </c>
      <c r="AN264" s="3">
        <v>1235.83</v>
      </c>
      <c r="AO264" s="3" t="s">
        <v>53</v>
      </c>
      <c r="AP264" s="3" t="s">
        <v>59</v>
      </c>
      <c r="AQ264" s="3">
        <v>42.39</v>
      </c>
      <c r="AR264" s="3" t="s">
        <v>53</v>
      </c>
      <c r="AS264" s="3" t="s">
        <v>60</v>
      </c>
      <c r="AT264" s="3">
        <v>8.22</v>
      </c>
    </row>
    <row r="265" s="3" customFormat="1" ht="15" customHeight="1" spans="1:46">
      <c r="A265" s="60">
        <v>240</v>
      </c>
      <c r="B265" s="61" t="s">
        <v>132</v>
      </c>
      <c r="C265" s="61" t="s">
        <v>543</v>
      </c>
      <c r="D265" s="61" t="s">
        <v>52</v>
      </c>
      <c r="E265" s="62">
        <v>36069</v>
      </c>
      <c r="F265" s="61">
        <v>91504</v>
      </c>
      <c r="G265" s="61" t="s">
        <v>53</v>
      </c>
      <c r="H265" s="63" t="s">
        <v>54</v>
      </c>
      <c r="I265" s="64" t="s">
        <v>53</v>
      </c>
      <c r="J265" s="63" t="s">
        <v>56</v>
      </c>
      <c r="K265" s="65" t="s">
        <v>82</v>
      </c>
      <c r="L265" s="66">
        <v>781.79</v>
      </c>
      <c r="M265" s="67" t="s">
        <v>53</v>
      </c>
      <c r="N265" s="67" t="s">
        <v>59</v>
      </c>
      <c r="O265" s="67">
        <v>42.39</v>
      </c>
      <c r="P265" s="68" t="s">
        <v>53</v>
      </c>
      <c r="Q265" s="67" t="s">
        <v>60</v>
      </c>
      <c r="R265" s="67">
        <v>8.22</v>
      </c>
      <c r="S265" s="69" t="s">
        <v>61</v>
      </c>
      <c r="T265" s="69">
        <v>165000</v>
      </c>
      <c r="U265" s="69"/>
      <c r="V265" s="69" t="s">
        <v>62</v>
      </c>
      <c r="W265" s="69">
        <v>4569.51</v>
      </c>
      <c r="X265" s="69"/>
      <c r="Y265" s="69" t="s">
        <v>63</v>
      </c>
      <c r="Z265" s="69">
        <v>949</v>
      </c>
      <c r="AA265" s="69"/>
      <c r="AB265" s="70"/>
      <c r="AC265" s="69" t="s">
        <v>544</v>
      </c>
      <c r="AD265" s="69"/>
      <c r="AE265" s="71">
        <v>83480</v>
      </c>
      <c r="AF265" s="69"/>
      <c r="AG265" s="3" t="str">
        <f>B265&amp;C265</f>
        <v>LaurenKoch</v>
      </c>
      <c r="AH265" s="3" t="str">
        <f>VLOOKUP($AG265,[1]Sheet8!$B:$G,1,0)</f>
        <v>LAURENKOCH</v>
      </c>
      <c r="AI265" s="3" t="str">
        <f>VLOOKUP($AG265,[1]Sheet8!$B:$G,4,0)</f>
        <v>EE</v>
      </c>
      <c r="AJ265" s="3" t="str">
        <f>VLOOKUP($AG265,[1]Sheet8!$B:$G,5,0)</f>
        <v>L093530003</v>
      </c>
      <c r="AK265" s="3">
        <f>VLOOKUP($AG265,[1]Sheet8!$B:$G,6,0)</f>
        <v>8.22</v>
      </c>
      <c r="AL265" s="3" t="s">
        <v>53</v>
      </c>
      <c r="AM265" s="3" t="s">
        <v>82</v>
      </c>
      <c r="AN265" s="3">
        <v>781.79</v>
      </c>
      <c r="AO265" s="3" t="s">
        <v>53</v>
      </c>
      <c r="AP265" s="3" t="s">
        <v>59</v>
      </c>
      <c r="AQ265" s="3">
        <v>42.39</v>
      </c>
      <c r="AR265" s="3" t="s">
        <v>53</v>
      </c>
      <c r="AS265" s="3" t="s">
        <v>60</v>
      </c>
      <c r="AT265" s="3">
        <v>8.22</v>
      </c>
    </row>
    <row r="266" s="3" customFormat="1" ht="15" customHeight="1" spans="1:46">
      <c r="A266" s="60">
        <v>241</v>
      </c>
      <c r="B266" s="61" t="s">
        <v>545</v>
      </c>
      <c r="C266" s="61" t="s">
        <v>546</v>
      </c>
      <c r="D266" s="61" t="s">
        <v>52</v>
      </c>
      <c r="E266" s="62">
        <v>27326</v>
      </c>
      <c r="F266" s="61">
        <v>28412</v>
      </c>
      <c r="G266" s="61" t="s">
        <v>53</v>
      </c>
      <c r="H266" s="63" t="s">
        <v>54</v>
      </c>
      <c r="I266" s="64" t="s">
        <v>53</v>
      </c>
      <c r="J266" s="63" t="s">
        <v>56</v>
      </c>
      <c r="K266" s="65" t="s">
        <v>57</v>
      </c>
      <c r="L266" s="66">
        <v>1235.83</v>
      </c>
      <c r="M266" s="67" t="s">
        <v>53</v>
      </c>
      <c r="N266" s="67" t="s">
        <v>59</v>
      </c>
      <c r="O266" s="67">
        <v>42.39</v>
      </c>
      <c r="P266" s="68" t="s">
        <v>53</v>
      </c>
      <c r="Q266" s="67" t="s">
        <v>60</v>
      </c>
      <c r="R266" s="67">
        <v>8.22</v>
      </c>
      <c r="S266" s="69" t="s">
        <v>61</v>
      </c>
      <c r="T266" s="69">
        <v>174000</v>
      </c>
      <c r="U266" s="69"/>
      <c r="V266" s="69" t="s">
        <v>62</v>
      </c>
      <c r="W266" s="69">
        <v>4816.91</v>
      </c>
      <c r="X266" s="69"/>
      <c r="Y266" s="69" t="s">
        <v>63</v>
      </c>
      <c r="Z266" s="69">
        <v>1000</v>
      </c>
      <c r="AA266" s="69"/>
      <c r="AB266" s="70"/>
      <c r="AC266" s="69" t="s">
        <v>194</v>
      </c>
      <c r="AD266" s="69"/>
      <c r="AE266" s="71">
        <v>89301</v>
      </c>
      <c r="AF266" s="69"/>
      <c r="AG266" s="3" t="str">
        <f>B266&amp;C266</f>
        <v>KatieKrumbholz</v>
      </c>
      <c r="AH266" s="3" t="str">
        <f>VLOOKUP($AG266,[1]Sheet8!$B:$G,1,0)</f>
        <v>KATIEKRUMBHOLZ</v>
      </c>
      <c r="AI266" s="3" t="str">
        <f>VLOOKUP($AG266,[1]Sheet8!$B:$G,4,0)</f>
        <v>EE</v>
      </c>
      <c r="AJ266" s="3" t="str">
        <f>VLOOKUP($AG266,[1]Sheet8!$B:$G,5,0)</f>
        <v>L093530003</v>
      </c>
      <c r="AK266" s="3">
        <f>VLOOKUP($AG266,[1]Sheet8!$B:$G,6,0)</f>
        <v>8.22</v>
      </c>
      <c r="AL266" s="3" t="s">
        <v>53</v>
      </c>
      <c r="AM266" s="3" t="s">
        <v>57</v>
      </c>
      <c r="AN266" s="3">
        <v>1235.83</v>
      </c>
      <c r="AO266" s="3" t="s">
        <v>53</v>
      </c>
      <c r="AP266" s="3" t="s">
        <v>59</v>
      </c>
      <c r="AQ266" s="3">
        <v>42.39</v>
      </c>
      <c r="AR266" s="3" t="s">
        <v>53</v>
      </c>
      <c r="AS266" s="3" t="s">
        <v>60</v>
      </c>
      <c r="AT266" s="3">
        <v>8.22</v>
      </c>
    </row>
    <row r="267" s="3" customFormat="1" ht="15" customHeight="1" spans="1:46">
      <c r="A267" s="60">
        <v>242</v>
      </c>
      <c r="B267" s="61" t="s">
        <v>547</v>
      </c>
      <c r="C267" s="61" t="s">
        <v>548</v>
      </c>
      <c r="D267" s="61" t="s">
        <v>67</v>
      </c>
      <c r="E267" s="62">
        <v>37055</v>
      </c>
      <c r="F267" s="61" t="s">
        <v>549</v>
      </c>
      <c r="G267" s="61" t="s">
        <v>53</v>
      </c>
      <c r="H267" s="63" t="s">
        <v>54</v>
      </c>
      <c r="I267" s="64" t="s">
        <v>53</v>
      </c>
      <c r="J267" s="63" t="s">
        <v>56</v>
      </c>
      <c r="K267" s="65" t="s">
        <v>57</v>
      </c>
      <c r="L267" s="66">
        <v>1235.83</v>
      </c>
      <c r="M267" s="67" t="s">
        <v>53</v>
      </c>
      <c r="N267" s="67" t="s">
        <v>59</v>
      </c>
      <c r="O267" s="67">
        <v>42.39</v>
      </c>
      <c r="P267" s="68" t="s">
        <v>53</v>
      </c>
      <c r="Q267" s="67" t="s">
        <v>60</v>
      </c>
      <c r="R267" s="67">
        <v>8.22</v>
      </c>
      <c r="S267" s="69" t="s">
        <v>61</v>
      </c>
      <c r="T267" s="69">
        <v>144000</v>
      </c>
      <c r="U267" s="69"/>
      <c r="V267" s="69" t="s">
        <v>62</v>
      </c>
      <c r="W267" s="69">
        <v>3986.87</v>
      </c>
      <c r="X267" s="69"/>
      <c r="Y267" s="69" t="s">
        <v>63</v>
      </c>
      <c r="Z267" s="69">
        <v>828</v>
      </c>
      <c r="AA267" s="69"/>
      <c r="AB267" s="70"/>
      <c r="AC267" s="69" t="s">
        <v>550</v>
      </c>
      <c r="AD267" s="69"/>
      <c r="AE267" s="71">
        <v>73554</v>
      </c>
      <c r="AF267" s="69"/>
      <c r="AG267" s="3" t="str">
        <f>B267&amp;C267</f>
        <v>PrasadKuberkar</v>
      </c>
      <c r="AH267" s="3" t="str">
        <f>VLOOKUP($AG267,[1]Sheet8!$B:$G,1,0)</f>
        <v>PRASADKUBERKAR</v>
      </c>
      <c r="AI267" s="3" t="str">
        <f>VLOOKUP($AG267,[1]Sheet8!$B:$G,4,0)</f>
        <v>EE</v>
      </c>
      <c r="AJ267" s="3" t="str">
        <f>VLOOKUP($AG267,[1]Sheet8!$B:$G,5,0)</f>
        <v>L093530003</v>
      </c>
      <c r="AK267" s="3">
        <f>VLOOKUP($AG267,[1]Sheet8!$B:$G,6,0)</f>
        <v>8.22</v>
      </c>
      <c r="AL267" s="3" t="s">
        <v>53</v>
      </c>
      <c r="AM267" s="3" t="s">
        <v>57</v>
      </c>
      <c r="AN267" s="3">
        <v>1235.83</v>
      </c>
      <c r="AO267" s="3" t="s">
        <v>53</v>
      </c>
      <c r="AP267" s="3" t="s">
        <v>59</v>
      </c>
      <c r="AQ267" s="3">
        <v>42.39</v>
      </c>
      <c r="AR267" s="3" t="s">
        <v>53</v>
      </c>
      <c r="AS267" s="3" t="s">
        <v>60</v>
      </c>
      <c r="AT267" s="3">
        <v>8.22</v>
      </c>
    </row>
    <row r="268" s="3" customFormat="1" ht="15" customHeight="1" spans="1:46">
      <c r="A268" s="60">
        <v>243</v>
      </c>
      <c r="B268" s="61" t="s">
        <v>551</v>
      </c>
      <c r="C268" s="61" t="s">
        <v>552</v>
      </c>
      <c r="D268" s="61" t="s">
        <v>67</v>
      </c>
      <c r="E268" s="62">
        <v>25314</v>
      </c>
      <c r="F268" s="61">
        <v>11217</v>
      </c>
      <c r="G268" s="61" t="s">
        <v>53</v>
      </c>
      <c r="H268" s="63" t="s">
        <v>54</v>
      </c>
      <c r="I268" s="64" t="s">
        <v>58</v>
      </c>
      <c r="J268" s="63" t="s">
        <v>56</v>
      </c>
      <c r="K268" s="65" t="s">
        <v>82</v>
      </c>
      <c r="L268" s="66">
        <v>2423.56</v>
      </c>
      <c r="M268" s="67" t="s">
        <v>58</v>
      </c>
      <c r="N268" s="67" t="s">
        <v>59</v>
      </c>
      <c r="O268" s="67">
        <v>147.1</v>
      </c>
      <c r="P268" s="68" t="s">
        <v>81</v>
      </c>
      <c r="Q268" s="67" t="s">
        <v>60</v>
      </c>
      <c r="R268" s="67">
        <v>16.48</v>
      </c>
      <c r="S268" s="69" t="s">
        <v>61</v>
      </c>
      <c r="T268" s="69">
        <v>250000</v>
      </c>
      <c r="U268" s="69"/>
      <c r="V268" s="69" t="s">
        <v>62</v>
      </c>
      <c r="W268" s="69">
        <v>10000</v>
      </c>
      <c r="X268" s="69"/>
      <c r="Y268" s="69" t="s">
        <v>63</v>
      </c>
      <c r="Z268" s="69">
        <v>2000</v>
      </c>
      <c r="AA268" s="69"/>
      <c r="AB268" s="70"/>
      <c r="AC268" s="69" t="s">
        <v>553</v>
      </c>
      <c r="AD268" s="69"/>
      <c r="AE268" s="71">
        <v>210000</v>
      </c>
      <c r="AF268" s="69"/>
      <c r="AG268" s="3" t="str">
        <f>B268&amp;C268</f>
        <v>GlenKushner</v>
      </c>
      <c r="AH268" s="3" t="str">
        <f>VLOOKUP($AG268,[1]Sheet8!$B:$G,1,0)</f>
        <v>GLENKUSHNER</v>
      </c>
      <c r="AI268" s="3" t="str">
        <f>VLOOKUP($AG268,[1]Sheet8!$B:$G,4,0)</f>
        <v>ES</v>
      </c>
      <c r="AJ268" s="3" t="str">
        <f>VLOOKUP($AG268,[1]Sheet8!$B:$G,5,0)</f>
        <v>L093530003</v>
      </c>
      <c r="AK268" s="3">
        <f>VLOOKUP($AG268,[1]Sheet8!$B:$G,6,0)</f>
        <v>16.48</v>
      </c>
      <c r="AL268" s="3" t="s">
        <v>58</v>
      </c>
      <c r="AM268" s="3" t="s">
        <v>82</v>
      </c>
      <c r="AN268" s="3">
        <v>2423.56</v>
      </c>
      <c r="AO268" s="3" t="s">
        <v>58</v>
      </c>
      <c r="AP268" s="3" t="s">
        <v>59</v>
      </c>
      <c r="AQ268" s="3">
        <v>147.1</v>
      </c>
      <c r="AR268" s="3" t="s">
        <v>81</v>
      </c>
      <c r="AS268" s="3" t="s">
        <v>60</v>
      </c>
      <c r="AT268" s="3">
        <v>16.48</v>
      </c>
    </row>
    <row r="269" s="3" customFormat="1" ht="15" customHeight="1" spans="1:46">
      <c r="A269" s="60">
        <v>244</v>
      </c>
      <c r="B269" s="61" t="s">
        <v>554</v>
      </c>
      <c r="C269" s="61" t="s">
        <v>552</v>
      </c>
      <c r="D269" s="61" t="s">
        <v>67</v>
      </c>
      <c r="E269" s="62">
        <v>43411</v>
      </c>
      <c r="F269" s="61">
        <v>11217</v>
      </c>
      <c r="G269" s="61" t="s">
        <v>68</v>
      </c>
      <c r="H269" s="63">
        <v>243</v>
      </c>
      <c r="I269" s="64" t="s">
        <v>58</v>
      </c>
      <c r="J269" s="63" t="s">
        <v>56</v>
      </c>
      <c r="K269" s="65"/>
      <c r="L269" s="66"/>
      <c r="M269" s="67"/>
      <c r="N269" s="67"/>
      <c r="O269" s="67"/>
      <c r="P269" s="68"/>
      <c r="Q269" s="67"/>
      <c r="R269" s="67"/>
      <c r="S269" s="69"/>
      <c r="T269" s="69"/>
      <c r="U269" s="69"/>
      <c r="V269" s="69"/>
      <c r="W269" s="69"/>
      <c r="X269" s="69"/>
      <c r="Y269" s="69"/>
      <c r="Z269" s="69"/>
      <c r="AA269" s="69"/>
      <c r="AB269" s="70"/>
      <c r="AC269" s="69"/>
      <c r="AD269" s="69"/>
      <c r="AE269" s="71"/>
      <c r="AF269" s="69"/>
    </row>
    <row r="270" s="3" customFormat="1" ht="15" customHeight="1" spans="1:46">
      <c r="A270" s="60">
        <v>245</v>
      </c>
      <c r="B270" s="61" t="s">
        <v>555</v>
      </c>
      <c r="C270" s="61" t="s">
        <v>552</v>
      </c>
      <c r="D270" s="61" t="s">
        <v>52</v>
      </c>
      <c r="E270" s="62">
        <v>42339</v>
      </c>
      <c r="F270" s="61">
        <v>11217</v>
      </c>
      <c r="G270" s="61" t="s">
        <v>68</v>
      </c>
      <c r="H270" s="63">
        <v>243</v>
      </c>
      <c r="I270" s="64" t="s">
        <v>58</v>
      </c>
      <c r="J270" s="63" t="s">
        <v>56</v>
      </c>
      <c r="K270" s="65"/>
      <c r="L270" s="66"/>
      <c r="M270" s="67"/>
      <c r="N270" s="67"/>
      <c r="O270" s="67"/>
      <c r="P270" s="68"/>
      <c r="Q270" s="67"/>
      <c r="R270" s="67"/>
      <c r="S270" s="69"/>
      <c r="T270" s="69"/>
      <c r="U270" s="69"/>
      <c r="V270" s="69"/>
      <c r="W270" s="69"/>
      <c r="X270" s="69"/>
      <c r="Y270" s="69"/>
      <c r="Z270" s="69"/>
      <c r="AA270" s="69"/>
      <c r="AB270" s="70"/>
      <c r="AC270" s="69"/>
      <c r="AD270" s="69"/>
      <c r="AE270" s="71"/>
      <c r="AF270" s="69"/>
    </row>
    <row r="271" s="3" customFormat="1" ht="15" customHeight="1" spans="1:46">
      <c r="A271" s="60">
        <v>246</v>
      </c>
      <c r="B271" s="61" t="s">
        <v>130</v>
      </c>
      <c r="C271" s="61" t="s">
        <v>552</v>
      </c>
      <c r="D271" s="61" t="s">
        <v>52</v>
      </c>
      <c r="E271" s="62">
        <v>28758</v>
      </c>
      <c r="F271" s="61">
        <v>11217</v>
      </c>
      <c r="G271" s="61" t="s">
        <v>85</v>
      </c>
      <c r="H271" s="63">
        <v>243</v>
      </c>
      <c r="I271" s="64" t="s">
        <v>58</v>
      </c>
      <c r="J271" s="63" t="s">
        <v>56</v>
      </c>
      <c r="K271" s="65"/>
      <c r="L271" s="66"/>
      <c r="M271" s="67"/>
      <c r="N271" s="67"/>
      <c r="O271" s="67"/>
      <c r="P271" s="68"/>
      <c r="Q271" s="67"/>
      <c r="R271" s="67"/>
      <c r="S271" s="69"/>
      <c r="T271" s="69"/>
      <c r="U271" s="69"/>
      <c r="V271" s="69"/>
      <c r="W271" s="69"/>
      <c r="X271" s="69"/>
      <c r="Y271" s="69"/>
      <c r="Z271" s="69"/>
      <c r="AA271" s="69"/>
      <c r="AB271" s="70"/>
      <c r="AC271" s="69"/>
      <c r="AD271" s="69"/>
      <c r="AE271" s="71"/>
      <c r="AF271" s="69"/>
    </row>
    <row r="272" s="3" customFormat="1" ht="15" customHeight="1" spans="1:46">
      <c r="A272" s="60">
        <v>247</v>
      </c>
      <c r="B272" s="61" t="s">
        <v>494</v>
      </c>
      <c r="C272" s="61" t="s">
        <v>556</v>
      </c>
      <c r="D272" s="61" t="s">
        <v>52</v>
      </c>
      <c r="E272" s="62">
        <v>35797</v>
      </c>
      <c r="F272" s="61">
        <v>10021</v>
      </c>
      <c r="G272" s="61" t="s">
        <v>53</v>
      </c>
      <c r="H272" s="63" t="s">
        <v>54</v>
      </c>
      <c r="I272" s="64" t="s">
        <v>53</v>
      </c>
      <c r="J272" s="63" t="s">
        <v>56</v>
      </c>
      <c r="K272" s="65" t="s">
        <v>57</v>
      </c>
      <c r="L272" s="66">
        <v>1235.83</v>
      </c>
      <c r="M272" s="67" t="s">
        <v>53</v>
      </c>
      <c r="N272" s="67" t="s">
        <v>59</v>
      </c>
      <c r="O272" s="67">
        <v>42.39</v>
      </c>
      <c r="P272" s="68" t="s">
        <v>53</v>
      </c>
      <c r="Q272" s="67" t="s">
        <v>60</v>
      </c>
      <c r="R272" s="67">
        <v>8.22</v>
      </c>
      <c r="S272" s="69" t="s">
        <v>61</v>
      </c>
      <c r="T272" s="69">
        <v>170000</v>
      </c>
      <c r="U272" s="69"/>
      <c r="V272" s="69" t="s">
        <v>62</v>
      </c>
      <c r="W272" s="69">
        <v>4708.51</v>
      </c>
      <c r="X272" s="69"/>
      <c r="Y272" s="69" t="s">
        <v>63</v>
      </c>
      <c r="Z272" s="69">
        <v>978</v>
      </c>
      <c r="AA272" s="69"/>
      <c r="AB272" s="70"/>
      <c r="AC272" s="69" t="s">
        <v>557</v>
      </c>
      <c r="AD272" s="69"/>
      <c r="AE272" s="71">
        <v>93150</v>
      </c>
      <c r="AF272" s="69"/>
      <c r="AG272" s="3" t="str">
        <f>B272&amp;C272</f>
        <v>GabrielleLaMantia</v>
      </c>
      <c r="AH272" s="3" t="str">
        <f>VLOOKUP($AG272,[1]Sheet8!$B:$G,1,0)</f>
        <v>GABRIELLELAMANTIA</v>
      </c>
      <c r="AI272" s="3" t="str">
        <f>VLOOKUP($AG272,[1]Sheet8!$B:$G,4,0)</f>
        <v>EE</v>
      </c>
      <c r="AJ272" s="3" t="str">
        <f>VLOOKUP($AG272,[1]Sheet8!$B:$G,5,0)</f>
        <v>L093530003</v>
      </c>
      <c r="AK272" s="3">
        <f>VLOOKUP($AG272,[1]Sheet8!$B:$G,6,0)</f>
        <v>8.22</v>
      </c>
      <c r="AL272" s="3" t="s">
        <v>53</v>
      </c>
      <c r="AM272" s="3" t="s">
        <v>57</v>
      </c>
      <c r="AN272" s="3">
        <v>1235.83</v>
      </c>
      <c r="AO272" s="3" t="s">
        <v>53</v>
      </c>
      <c r="AP272" s="3" t="s">
        <v>59</v>
      </c>
      <c r="AQ272" s="3">
        <v>42.39</v>
      </c>
      <c r="AR272" s="3" t="s">
        <v>53</v>
      </c>
      <c r="AS272" s="3" t="s">
        <v>60</v>
      </c>
      <c r="AT272" s="3">
        <v>8.22</v>
      </c>
    </row>
    <row r="273" s="3" customFormat="1" ht="15" customHeight="1" spans="1:46">
      <c r="A273" s="60">
        <v>248</v>
      </c>
      <c r="B273" s="61" t="s">
        <v>558</v>
      </c>
      <c r="C273" s="61" t="s">
        <v>559</v>
      </c>
      <c r="D273" s="61" t="s">
        <v>67</v>
      </c>
      <c r="E273" s="62">
        <v>34627</v>
      </c>
      <c r="F273" s="61">
        <v>11238</v>
      </c>
      <c r="G273" s="61" t="s">
        <v>53</v>
      </c>
      <c r="H273" s="63" t="s">
        <v>54</v>
      </c>
      <c r="I273" s="64" t="s">
        <v>53</v>
      </c>
      <c r="J273" s="63" t="s">
        <v>56</v>
      </c>
      <c r="K273" s="65" t="s">
        <v>57</v>
      </c>
      <c r="L273" s="66">
        <v>1235.83</v>
      </c>
      <c r="M273" s="67" t="s">
        <v>53</v>
      </c>
      <c r="N273" s="67" t="s">
        <v>59</v>
      </c>
      <c r="O273" s="67">
        <v>42.39</v>
      </c>
      <c r="P273" s="68" t="s">
        <v>53</v>
      </c>
      <c r="Q273" s="67" t="s">
        <v>60</v>
      </c>
      <c r="R273" s="67">
        <v>8.22</v>
      </c>
      <c r="S273" s="69" t="s">
        <v>61</v>
      </c>
      <c r="T273" s="69">
        <v>198000</v>
      </c>
      <c r="U273" s="69"/>
      <c r="V273" s="69" t="s">
        <v>62</v>
      </c>
      <c r="W273" s="69">
        <v>5473.33</v>
      </c>
      <c r="X273" s="69"/>
      <c r="Y273" s="69" t="s">
        <v>63</v>
      </c>
      <c r="Z273" s="69">
        <v>1137</v>
      </c>
      <c r="AA273" s="69"/>
      <c r="AB273" s="70"/>
      <c r="AC273" s="69" t="s">
        <v>537</v>
      </c>
      <c r="AD273" s="69"/>
      <c r="AE273" s="71">
        <v>101470</v>
      </c>
      <c r="AF273" s="69"/>
      <c r="AG273" s="3" t="str">
        <f>B273&amp;C273</f>
        <v>ThedoreLandsman</v>
      </c>
      <c r="AH273" s="3" t="str">
        <f>VLOOKUP($AG273,[1]Sheet8!$B:$G,1,0)</f>
        <v>THEDORELANDSMAN</v>
      </c>
      <c r="AI273" s="3" t="str">
        <f>VLOOKUP($AG273,[1]Sheet8!$B:$G,4,0)</f>
        <v>EE</v>
      </c>
      <c r="AJ273" s="3" t="str">
        <f>VLOOKUP($AG273,[1]Sheet8!$B:$G,5,0)</f>
        <v>L093530003</v>
      </c>
      <c r="AK273" s="3">
        <f>VLOOKUP($AG273,[1]Sheet8!$B:$G,6,0)</f>
        <v>8.22</v>
      </c>
      <c r="AL273" s="3" t="s">
        <v>53</v>
      </c>
      <c r="AM273" s="3" t="s">
        <v>57</v>
      </c>
      <c r="AN273" s="3">
        <v>1235.83</v>
      </c>
      <c r="AO273" s="3" t="s">
        <v>53</v>
      </c>
      <c r="AP273" s="3" t="s">
        <v>59</v>
      </c>
      <c r="AQ273" s="3">
        <v>42.39</v>
      </c>
      <c r="AR273" s="3" t="s">
        <v>53</v>
      </c>
      <c r="AS273" s="3" t="s">
        <v>60</v>
      </c>
      <c r="AT273" s="3">
        <v>8.22</v>
      </c>
    </row>
    <row r="274" s="3" customFormat="1" ht="15" customHeight="1" spans="1:46">
      <c r="A274" s="60">
        <v>249</v>
      </c>
      <c r="B274" s="61" t="s">
        <v>181</v>
      </c>
      <c r="C274" s="61" t="s">
        <v>560</v>
      </c>
      <c r="D274" s="61" t="s">
        <v>67</v>
      </c>
      <c r="E274" s="62">
        <v>35443</v>
      </c>
      <c r="F274" s="61">
        <v>66215</v>
      </c>
      <c r="G274" s="61" t="s">
        <v>53</v>
      </c>
      <c r="H274" s="63" t="s">
        <v>54</v>
      </c>
      <c r="I274" s="64" t="s">
        <v>53</v>
      </c>
      <c r="J274" s="63" t="s">
        <v>56</v>
      </c>
      <c r="K274" s="65" t="s">
        <v>82</v>
      </c>
      <c r="L274" s="66">
        <v>781.79</v>
      </c>
      <c r="M274" s="67" t="s">
        <v>53</v>
      </c>
      <c r="N274" s="67" t="s">
        <v>59</v>
      </c>
      <c r="O274" s="67">
        <v>42.39</v>
      </c>
      <c r="P274" s="68" t="s">
        <v>53</v>
      </c>
      <c r="Q274" s="67" t="s">
        <v>60</v>
      </c>
      <c r="R274" s="67">
        <v>8.22</v>
      </c>
      <c r="S274" s="69" t="s">
        <v>61</v>
      </c>
      <c r="T274" s="69">
        <v>144000</v>
      </c>
      <c r="U274" s="69"/>
      <c r="V274" s="69" t="s">
        <v>62</v>
      </c>
      <c r="W274" s="69">
        <v>3974.87</v>
      </c>
      <c r="X274" s="69"/>
      <c r="Y274" s="69" t="s">
        <v>63</v>
      </c>
      <c r="Z274" s="69">
        <v>826</v>
      </c>
      <c r="AA274" s="69"/>
      <c r="AB274" s="70"/>
      <c r="AC274" s="69" t="s">
        <v>476</v>
      </c>
      <c r="AD274" s="69"/>
      <c r="AE274" s="71">
        <v>74484</v>
      </c>
      <c r="AF274" s="69"/>
      <c r="AG274" s="3" t="str">
        <f t="shared" ref="AG274:AG284" si="8">B274&amp;C274</f>
        <v>RyanLarson</v>
      </c>
      <c r="AH274" s="3" t="str">
        <f>VLOOKUP($AG274,[1]Sheet8!$B:$G,1,0)</f>
        <v>RYANLARSON</v>
      </c>
      <c r="AI274" s="3" t="str">
        <f>VLOOKUP($AG274,[1]Sheet8!$B:$G,4,0)</f>
        <v>EE</v>
      </c>
      <c r="AJ274" s="3" t="str">
        <f>VLOOKUP($AG274,[1]Sheet8!$B:$G,5,0)</f>
        <v>L093530003</v>
      </c>
      <c r="AK274" s="3">
        <f>VLOOKUP($AG274,[1]Sheet8!$B:$G,6,0)</f>
        <v>8.22</v>
      </c>
      <c r="AL274" s="3" t="s">
        <v>53</v>
      </c>
      <c r="AM274" s="3" t="s">
        <v>82</v>
      </c>
      <c r="AN274" s="3">
        <v>781.79</v>
      </c>
      <c r="AO274" s="3" t="s">
        <v>53</v>
      </c>
      <c r="AP274" s="3" t="s">
        <v>59</v>
      </c>
      <c r="AQ274" s="3">
        <v>42.39</v>
      </c>
      <c r="AR274" s="3" t="s">
        <v>53</v>
      </c>
      <c r="AS274" s="3" t="s">
        <v>60</v>
      </c>
      <c r="AT274" s="3">
        <v>8.22</v>
      </c>
    </row>
    <row r="275" s="3" customFormat="1" ht="15" customHeight="1" spans="1:46">
      <c r="A275" s="60">
        <v>250</v>
      </c>
      <c r="B275" s="61" t="s">
        <v>554</v>
      </c>
      <c r="C275" s="61" t="s">
        <v>561</v>
      </c>
      <c r="D275" s="61" t="s">
        <v>67</v>
      </c>
      <c r="E275" s="62">
        <v>35859</v>
      </c>
      <c r="F275" s="61">
        <v>92122</v>
      </c>
      <c r="G275" s="61" t="s">
        <v>53</v>
      </c>
      <c r="H275" s="63" t="s">
        <v>54</v>
      </c>
      <c r="I275" s="64" t="s">
        <v>53</v>
      </c>
      <c r="J275" s="63" t="s">
        <v>56</v>
      </c>
      <c r="K275" s="65" t="s">
        <v>57</v>
      </c>
      <c r="L275" s="66">
        <v>1235.83</v>
      </c>
      <c r="M275" s="67" t="s">
        <v>53</v>
      </c>
      <c r="N275" s="67" t="s">
        <v>59</v>
      </c>
      <c r="O275" s="67">
        <v>42.39</v>
      </c>
      <c r="P275" s="68" t="s">
        <v>53</v>
      </c>
      <c r="Q275" s="67" t="s">
        <v>60</v>
      </c>
      <c r="R275" s="67">
        <v>8.22</v>
      </c>
      <c r="S275" s="69" t="s">
        <v>61</v>
      </c>
      <c r="T275" s="69">
        <v>198000</v>
      </c>
      <c r="U275" s="69"/>
      <c r="V275" s="69" t="s">
        <v>62</v>
      </c>
      <c r="W275" s="69">
        <v>5483.39</v>
      </c>
      <c r="X275" s="69"/>
      <c r="Y275" s="69" t="s">
        <v>63</v>
      </c>
      <c r="Z275" s="69">
        <v>1139</v>
      </c>
      <c r="AA275" s="69"/>
      <c r="AB275" s="70"/>
      <c r="AC275" s="69" t="s">
        <v>562</v>
      </c>
      <c r="AD275" s="69"/>
      <c r="AE275" s="71">
        <v>121657</v>
      </c>
      <c r="AF275" s="69"/>
      <c r="AG275" s="3" t="str">
        <f t="shared" si="8"/>
        <v>MaxLascombe</v>
      </c>
      <c r="AH275" s="3" t="str">
        <f>VLOOKUP($AG275,[1]Sheet8!$B:$G,1,0)</f>
        <v>MAXLASCOMBE</v>
      </c>
      <c r="AI275" s="3" t="str">
        <f>VLOOKUP($AG275,[1]Sheet8!$B:$G,4,0)</f>
        <v>EE</v>
      </c>
      <c r="AJ275" s="3" t="str">
        <f>VLOOKUP($AG275,[1]Sheet8!$B:$G,5,0)</f>
        <v>L093530003</v>
      </c>
      <c r="AK275" s="3">
        <f>VLOOKUP($AG275,[1]Sheet8!$B:$G,6,0)</f>
        <v>8.22</v>
      </c>
      <c r="AL275" s="3" t="s">
        <v>53</v>
      </c>
      <c r="AM275" s="3" t="s">
        <v>57</v>
      </c>
      <c r="AN275" s="3">
        <v>1235.83</v>
      </c>
      <c r="AO275" s="3" t="s">
        <v>53</v>
      </c>
      <c r="AP275" s="3" t="s">
        <v>59</v>
      </c>
      <c r="AQ275" s="3">
        <v>42.39</v>
      </c>
      <c r="AR275" s="3" t="s">
        <v>53</v>
      </c>
      <c r="AS275" s="3" t="s">
        <v>60</v>
      </c>
      <c r="AT275" s="3">
        <v>8.22</v>
      </c>
    </row>
    <row r="276" s="3" customFormat="1" ht="15" customHeight="1" spans="1:46">
      <c r="A276" s="60">
        <v>251</v>
      </c>
      <c r="B276" s="61" t="s">
        <v>563</v>
      </c>
      <c r="C276" s="61" t="s">
        <v>564</v>
      </c>
      <c r="D276" s="61" t="s">
        <v>67</v>
      </c>
      <c r="E276" s="62">
        <v>33033</v>
      </c>
      <c r="F276" s="61">
        <v>27712</v>
      </c>
      <c r="G276" s="61" t="s">
        <v>53</v>
      </c>
      <c r="H276" s="63" t="s">
        <v>54</v>
      </c>
      <c r="I276" s="64" t="s">
        <v>53</v>
      </c>
      <c r="J276" s="63" t="s">
        <v>56</v>
      </c>
      <c r="K276" s="65" t="s">
        <v>57</v>
      </c>
      <c r="L276" s="66">
        <v>1235.83</v>
      </c>
      <c r="M276" s="67" t="s">
        <v>53</v>
      </c>
      <c r="N276" s="67" t="s">
        <v>59</v>
      </c>
      <c r="O276" s="67">
        <v>42.39</v>
      </c>
      <c r="P276" s="68" t="s">
        <v>53</v>
      </c>
      <c r="Q276" s="67" t="s">
        <v>60</v>
      </c>
      <c r="R276" s="67">
        <v>8.22</v>
      </c>
      <c r="S276" s="69" t="s">
        <v>61</v>
      </c>
      <c r="T276" s="69">
        <v>171000</v>
      </c>
      <c r="U276" s="69"/>
      <c r="V276" s="69" t="s">
        <v>62</v>
      </c>
      <c r="W276" s="69">
        <v>4749.68</v>
      </c>
      <c r="X276" s="69"/>
      <c r="Y276" s="69" t="s">
        <v>63</v>
      </c>
      <c r="Z276" s="69">
        <v>986</v>
      </c>
      <c r="AA276" s="69"/>
      <c r="AB276" s="70"/>
      <c r="AC276" s="69" t="s">
        <v>565</v>
      </c>
      <c r="AD276" s="69"/>
      <c r="AE276" s="71">
        <v>100673</v>
      </c>
      <c r="AF276" s="69"/>
      <c r="AG276" s="3" t="str">
        <f t="shared" si="8"/>
        <v>CalebLaverack</v>
      </c>
      <c r="AH276" s="3" t="str">
        <f>VLOOKUP($AG276,[1]Sheet8!$B:$G,1,0)</f>
        <v>CALEBLAVERACK</v>
      </c>
      <c r="AI276" s="3" t="str">
        <f>VLOOKUP($AG276,[1]Sheet8!$B:$G,4,0)</f>
        <v>EE</v>
      </c>
      <c r="AJ276" s="3" t="str">
        <f>VLOOKUP($AG276,[1]Sheet8!$B:$G,5,0)</f>
        <v>L093530003</v>
      </c>
      <c r="AK276" s="3">
        <f>VLOOKUP($AG276,[1]Sheet8!$B:$G,6,0)</f>
        <v>8.22</v>
      </c>
      <c r="AL276" s="3" t="s">
        <v>53</v>
      </c>
      <c r="AM276" s="3" t="s">
        <v>57</v>
      </c>
      <c r="AN276" s="3">
        <v>1235.83</v>
      </c>
      <c r="AO276" s="3" t="s">
        <v>53</v>
      </c>
      <c r="AP276" s="3" t="s">
        <v>59</v>
      </c>
      <c r="AQ276" s="3">
        <v>42.39</v>
      </c>
      <c r="AR276" s="3" t="s">
        <v>53</v>
      </c>
      <c r="AS276" s="3" t="s">
        <v>60</v>
      </c>
      <c r="AT276" s="3">
        <v>8.22</v>
      </c>
    </row>
    <row r="277" s="3" customFormat="1" ht="15" customHeight="1" spans="1:46">
      <c r="A277" s="60">
        <v>252</v>
      </c>
      <c r="B277" s="61" t="s">
        <v>471</v>
      </c>
      <c r="C277" s="61" t="s">
        <v>566</v>
      </c>
      <c r="D277" s="61" t="s">
        <v>67</v>
      </c>
      <c r="E277" s="62">
        <v>32038</v>
      </c>
      <c r="F277" s="61">
        <v>32814</v>
      </c>
      <c r="G277" s="61" t="s">
        <v>53</v>
      </c>
      <c r="H277" s="63" t="s">
        <v>54</v>
      </c>
      <c r="I277" s="64" t="s">
        <v>53</v>
      </c>
      <c r="J277" s="63" t="s">
        <v>56</v>
      </c>
      <c r="K277" s="65" t="s">
        <v>57</v>
      </c>
      <c r="L277" s="66">
        <v>1235.83</v>
      </c>
      <c r="M277" s="67" t="s">
        <v>53</v>
      </c>
      <c r="N277" s="67" t="s">
        <v>59</v>
      </c>
      <c r="O277" s="67">
        <v>42.39</v>
      </c>
      <c r="P277" s="68" t="s">
        <v>53</v>
      </c>
      <c r="Q277" s="67" t="s">
        <v>60</v>
      </c>
      <c r="R277" s="67">
        <v>8.22</v>
      </c>
      <c r="S277" s="69" t="s">
        <v>61</v>
      </c>
      <c r="T277" s="69">
        <v>202000</v>
      </c>
      <c r="U277" s="69"/>
      <c r="V277" s="69" t="s">
        <v>62</v>
      </c>
      <c r="W277" s="69">
        <v>5592.11</v>
      </c>
      <c r="X277" s="69"/>
      <c r="Y277" s="69" t="s">
        <v>63</v>
      </c>
      <c r="Z277" s="69">
        <v>1161</v>
      </c>
      <c r="AA277" s="69"/>
      <c r="AB277" s="70"/>
      <c r="AC277" s="69" t="s">
        <v>567</v>
      </c>
      <c r="AD277" s="69"/>
      <c r="AE277" s="71">
        <v>105686</v>
      </c>
      <c r="AF277" s="69"/>
      <c r="AG277" s="3" t="str">
        <f t="shared" si="8"/>
        <v>AlexanderLawhorne</v>
      </c>
      <c r="AH277" s="3" t="str">
        <f>VLOOKUP($AG277,[1]Sheet8!$B:$G,1,0)</f>
        <v>ALEXANDERLAWHORNE</v>
      </c>
      <c r="AI277" s="3" t="str">
        <f>VLOOKUP($AG277,[1]Sheet8!$B:$G,4,0)</f>
        <v>EE</v>
      </c>
      <c r="AJ277" s="3" t="str">
        <f>VLOOKUP($AG277,[1]Sheet8!$B:$G,5,0)</f>
        <v>L093530003</v>
      </c>
      <c r="AK277" s="3">
        <f>VLOOKUP($AG277,[1]Sheet8!$B:$G,6,0)</f>
        <v>8.22</v>
      </c>
      <c r="AL277" s="3" t="s">
        <v>53</v>
      </c>
      <c r="AM277" s="3" t="s">
        <v>57</v>
      </c>
      <c r="AN277" s="3">
        <v>1235.83</v>
      </c>
      <c r="AO277" s="3" t="s">
        <v>53</v>
      </c>
      <c r="AP277" s="3" t="s">
        <v>59</v>
      </c>
      <c r="AQ277" s="3">
        <v>42.39</v>
      </c>
      <c r="AR277" s="3" t="s">
        <v>53</v>
      </c>
      <c r="AS277" s="3" t="s">
        <v>60</v>
      </c>
      <c r="AT277" s="3">
        <v>8.22</v>
      </c>
    </row>
    <row r="278" s="3" customFormat="1" ht="15" customHeight="1" spans="1:46">
      <c r="A278" s="60">
        <v>253</v>
      </c>
      <c r="B278" s="61" t="s">
        <v>568</v>
      </c>
      <c r="C278" s="61" t="s">
        <v>262</v>
      </c>
      <c r="D278" s="61" t="s">
        <v>67</v>
      </c>
      <c r="E278" s="62">
        <v>36348</v>
      </c>
      <c r="F278" s="61">
        <v>94121</v>
      </c>
      <c r="G278" s="61" t="s">
        <v>53</v>
      </c>
      <c r="H278" s="63" t="s">
        <v>54</v>
      </c>
      <c r="I278" s="64" t="s">
        <v>53</v>
      </c>
      <c r="J278" s="63" t="s">
        <v>56</v>
      </c>
      <c r="K278" s="65" t="s">
        <v>82</v>
      </c>
      <c r="L278" s="66">
        <v>781.79</v>
      </c>
      <c r="M278" s="67" t="s">
        <v>53</v>
      </c>
      <c r="N278" s="67" t="s">
        <v>59</v>
      </c>
      <c r="O278" s="67">
        <v>42.39</v>
      </c>
      <c r="P278" s="68" t="s">
        <v>53</v>
      </c>
      <c r="Q278" s="67" t="s">
        <v>60</v>
      </c>
      <c r="R278" s="67">
        <v>8.22</v>
      </c>
      <c r="S278" s="69" t="s">
        <v>61</v>
      </c>
      <c r="T278" s="69">
        <v>165000</v>
      </c>
      <c r="U278" s="69"/>
      <c r="V278" s="69" t="s">
        <v>62</v>
      </c>
      <c r="W278" s="69">
        <v>4556.45</v>
      </c>
      <c r="X278" s="69"/>
      <c r="Y278" s="69" t="s">
        <v>63</v>
      </c>
      <c r="Z278" s="69">
        <v>946</v>
      </c>
      <c r="AA278" s="69"/>
      <c r="AB278" s="70"/>
      <c r="AC278" s="69" t="s">
        <v>201</v>
      </c>
      <c r="AD278" s="69"/>
      <c r="AE278" s="71">
        <v>83652</v>
      </c>
      <c r="AF278" s="69"/>
      <c r="AG278" s="3" t="str">
        <f t="shared" si="8"/>
        <v>JacobLefkowitz</v>
      </c>
      <c r="AH278" s="3" t="str">
        <f>VLOOKUP($AG278,[1]Sheet8!$B:$G,1,0)</f>
        <v>JACOBLefkowitz</v>
      </c>
      <c r="AI278" s="3" t="str">
        <f>VLOOKUP($AG278,[1]Sheet8!$B:$G,4,0)</f>
        <v>EE</v>
      </c>
      <c r="AJ278" s="3" t="str">
        <f>VLOOKUP($AG278,[1]Sheet8!$B:$G,5,0)</f>
        <v>L093530003</v>
      </c>
      <c r="AK278" s="3">
        <f>VLOOKUP($AG278,[1]Sheet8!$B:$G,6,0)</f>
        <v>8.22</v>
      </c>
      <c r="AL278" s="3" t="s">
        <v>53</v>
      </c>
      <c r="AM278" s="3" t="s">
        <v>82</v>
      </c>
      <c r="AN278" s="3">
        <v>781.79</v>
      </c>
      <c r="AO278" s="3" t="s">
        <v>53</v>
      </c>
      <c r="AP278" s="3" t="s">
        <v>59</v>
      </c>
      <c r="AQ278" s="3">
        <v>42.39</v>
      </c>
      <c r="AR278" s="3" t="s">
        <v>53</v>
      </c>
      <c r="AS278" s="3" t="s">
        <v>60</v>
      </c>
      <c r="AT278" s="3">
        <v>8.22</v>
      </c>
    </row>
    <row r="279" s="3" customFormat="1" ht="15" customHeight="1" spans="1:46">
      <c r="A279" s="60">
        <v>254</v>
      </c>
      <c r="B279" s="61" t="s">
        <v>569</v>
      </c>
      <c r="C279" s="61" t="s">
        <v>570</v>
      </c>
      <c r="D279" s="61" t="s">
        <v>52</v>
      </c>
      <c r="E279" s="62">
        <v>35774</v>
      </c>
      <c r="F279" s="61">
        <v>95618</v>
      </c>
      <c r="G279" s="61" t="s">
        <v>53</v>
      </c>
      <c r="H279" s="63" t="s">
        <v>54</v>
      </c>
      <c r="I279" s="64" t="s">
        <v>53</v>
      </c>
      <c r="J279" s="63" t="s">
        <v>56</v>
      </c>
      <c r="K279" s="65" t="s">
        <v>82</v>
      </c>
      <c r="L279" s="66">
        <v>781.79</v>
      </c>
      <c r="M279" s="67" t="s">
        <v>53</v>
      </c>
      <c r="N279" s="67" t="s">
        <v>59</v>
      </c>
      <c r="O279" s="67">
        <v>42.39</v>
      </c>
      <c r="P279" s="68" t="s">
        <v>53</v>
      </c>
      <c r="Q279" s="67" t="s">
        <v>60</v>
      </c>
      <c r="R279" s="67">
        <v>8.22</v>
      </c>
      <c r="S279" s="69" t="s">
        <v>61</v>
      </c>
      <c r="T279" s="69">
        <v>150000</v>
      </c>
      <c r="U279" s="69"/>
      <c r="V279" s="69" t="s">
        <v>62</v>
      </c>
      <c r="W279" s="69">
        <v>4166.88</v>
      </c>
      <c r="X279" s="69"/>
      <c r="Y279" s="69" t="s">
        <v>63</v>
      </c>
      <c r="Z279" s="69">
        <v>865</v>
      </c>
      <c r="AA279" s="69"/>
      <c r="AB279" s="70"/>
      <c r="AC279" s="69" t="s">
        <v>201</v>
      </c>
      <c r="AD279" s="69"/>
      <c r="AE279" s="71">
        <v>77625</v>
      </c>
      <c r="AF279" s="69"/>
      <c r="AG279" s="3" t="str">
        <f t="shared" si="8"/>
        <v>SallyLi</v>
      </c>
      <c r="AH279" s="3" t="str">
        <f>VLOOKUP($AG279,[1]Sheet8!$B:$G,1,0)</f>
        <v>SALLYLI</v>
      </c>
      <c r="AI279" s="3" t="str">
        <f>VLOOKUP($AG279,[1]Sheet8!$B:$G,4,0)</f>
        <v>EE</v>
      </c>
      <c r="AJ279" s="3" t="str">
        <f>VLOOKUP($AG279,[1]Sheet8!$B:$G,5,0)</f>
        <v>L093530003</v>
      </c>
      <c r="AK279" s="3">
        <f>VLOOKUP($AG279,[1]Sheet8!$B:$G,6,0)</f>
        <v>8.22</v>
      </c>
      <c r="AL279" s="3" t="s">
        <v>53</v>
      </c>
      <c r="AM279" s="3" t="s">
        <v>82</v>
      </c>
      <c r="AN279" s="3">
        <v>781.79</v>
      </c>
      <c r="AO279" s="3" t="s">
        <v>53</v>
      </c>
      <c r="AP279" s="3" t="s">
        <v>59</v>
      </c>
      <c r="AQ279" s="3">
        <v>42.39</v>
      </c>
      <c r="AR279" s="3" t="s">
        <v>53</v>
      </c>
      <c r="AS279" s="3" t="s">
        <v>60</v>
      </c>
      <c r="AT279" s="3">
        <v>8.22</v>
      </c>
    </row>
    <row r="280" s="3" customFormat="1" ht="15" customHeight="1" spans="1:46">
      <c r="A280" s="60">
        <v>255</v>
      </c>
      <c r="B280" s="61" t="s">
        <v>571</v>
      </c>
      <c r="C280" s="61" t="s">
        <v>572</v>
      </c>
      <c r="D280" s="61" t="s">
        <v>52</v>
      </c>
      <c r="E280" s="62">
        <v>30645</v>
      </c>
      <c r="F280" s="61">
        <v>97212</v>
      </c>
      <c r="G280" s="61" t="s">
        <v>53</v>
      </c>
      <c r="H280" s="63" t="s">
        <v>54</v>
      </c>
      <c r="I280" s="64" t="s">
        <v>119</v>
      </c>
      <c r="J280" s="63" t="s">
        <v>56</v>
      </c>
      <c r="K280" s="65"/>
      <c r="L280" s="66"/>
      <c r="M280" s="67"/>
      <c r="N280" s="67"/>
      <c r="O280" s="67"/>
      <c r="P280" s="68"/>
      <c r="Q280" s="67"/>
      <c r="R280" s="67"/>
      <c r="S280" s="69" t="s">
        <v>61</v>
      </c>
      <c r="T280" s="69">
        <v>190000</v>
      </c>
      <c r="U280" s="69"/>
      <c r="V280" s="69" t="s">
        <v>62</v>
      </c>
      <c r="W280" s="69">
        <v>5252.87</v>
      </c>
      <c r="X280" s="69"/>
      <c r="Y280" s="69" t="s">
        <v>63</v>
      </c>
      <c r="Z280" s="69">
        <v>1091</v>
      </c>
      <c r="AA280" s="69"/>
      <c r="AB280" s="70"/>
      <c r="AC280" s="69" t="s">
        <v>573</v>
      </c>
      <c r="AD280" s="69"/>
      <c r="AE280" s="71">
        <v>97384</v>
      </c>
      <c r="AF280" s="69"/>
      <c r="AG280" s="3" t="str">
        <f t="shared" si="8"/>
        <v>AlyndaLingwood</v>
      </c>
      <c r="AH280" s="3" t="e">
        <f>VLOOKUP($AG280,[1]Sheet8!$B:$G,1,0)</f>
        <v>#N/A</v>
      </c>
      <c r="AI280" s="3" t="e">
        <f>VLOOKUP($AG280,[1]Sheet8!$B:$G,4,0)</f>
        <v>#N/A</v>
      </c>
      <c r="AJ280" s="3" t="e">
        <f>VLOOKUP($AG280,[1]Sheet8!$B:$G,5,0)</f>
        <v>#N/A</v>
      </c>
      <c r="AK280" s="3" t="e">
        <f>VLOOKUP($AG280,[1]Sheet8!$B:$G,6,0)</f>
        <v>#N/A</v>
      </c>
    </row>
    <row r="281" s="3" customFormat="1" ht="15" customHeight="1" spans="1:46">
      <c r="A281" s="60">
        <v>256</v>
      </c>
      <c r="B281" s="61" t="s">
        <v>186</v>
      </c>
      <c r="C281" s="61" t="s">
        <v>574</v>
      </c>
      <c r="D281" s="61" t="s">
        <v>52</v>
      </c>
      <c r="E281" s="62">
        <v>30846</v>
      </c>
      <c r="F281" s="61">
        <v>94587</v>
      </c>
      <c r="G281" s="61" t="s">
        <v>53</v>
      </c>
      <c r="H281" s="63" t="s">
        <v>54</v>
      </c>
      <c r="I281" s="64" t="s">
        <v>119</v>
      </c>
      <c r="J281" s="63" t="s">
        <v>56</v>
      </c>
      <c r="K281" s="65"/>
      <c r="L281" s="66"/>
      <c r="M281" s="67" t="s">
        <v>58</v>
      </c>
      <c r="N281" s="67" t="s">
        <v>59</v>
      </c>
      <c r="O281" s="67">
        <v>147.1</v>
      </c>
      <c r="P281" s="68"/>
      <c r="Q281" s="67"/>
      <c r="R281" s="67"/>
      <c r="S281" s="69" t="s">
        <v>61</v>
      </c>
      <c r="T281" s="69">
        <v>197000</v>
      </c>
      <c r="U281" s="69"/>
      <c r="V281" s="69" t="s">
        <v>62</v>
      </c>
      <c r="W281" s="69">
        <v>5450.72</v>
      </c>
      <c r="X281" s="69"/>
      <c r="Y281" s="69" t="s">
        <v>63</v>
      </c>
      <c r="Z281" s="69">
        <v>1132</v>
      </c>
      <c r="AA281" s="69"/>
      <c r="AB281" s="70"/>
      <c r="AC281" s="69" t="s">
        <v>147</v>
      </c>
      <c r="AD281" s="69"/>
      <c r="AE281" s="71">
        <v>101051</v>
      </c>
      <c r="AF281" s="69"/>
      <c r="AG281" s="3" t="str">
        <f t="shared" si="8"/>
        <v>KellyLlaguno</v>
      </c>
      <c r="AH281" s="3" t="e">
        <f>VLOOKUP($AG281,[1]Sheet8!$B:$G,1,0)</f>
        <v>#N/A</v>
      </c>
      <c r="AI281" s="3" t="e">
        <f>VLOOKUP($AG281,[1]Sheet8!$B:$G,4,0)</f>
        <v>#N/A</v>
      </c>
      <c r="AJ281" s="3" t="e">
        <f>VLOOKUP($AG281,[1]Sheet8!$B:$G,5,0)</f>
        <v>#N/A</v>
      </c>
      <c r="AK281" s="3" t="e">
        <f>VLOOKUP($AG281,[1]Sheet8!$B:$G,6,0)</f>
        <v>#N/A</v>
      </c>
      <c r="AO281" s="3" t="s">
        <v>58</v>
      </c>
      <c r="AP281" s="3" t="s">
        <v>59</v>
      </c>
      <c r="AQ281" s="3">
        <v>147.1</v>
      </c>
    </row>
    <row r="282" s="3" customFormat="1" ht="15" customHeight="1" spans="1:46">
      <c r="A282" s="60">
        <v>257</v>
      </c>
      <c r="B282" s="61" t="s">
        <v>229</v>
      </c>
      <c r="C282" s="61" t="s">
        <v>575</v>
      </c>
      <c r="D282" s="61" t="s">
        <v>67</v>
      </c>
      <c r="E282" s="62">
        <v>26323</v>
      </c>
      <c r="F282" s="61">
        <v>91355</v>
      </c>
      <c r="G282" s="61" t="s">
        <v>53</v>
      </c>
      <c r="H282" s="63" t="s">
        <v>54</v>
      </c>
      <c r="I282" s="64" t="s">
        <v>119</v>
      </c>
      <c r="J282" s="63" t="s">
        <v>56</v>
      </c>
      <c r="K282" s="65"/>
      <c r="L282" s="66"/>
      <c r="M282" s="67"/>
      <c r="N282" s="67"/>
      <c r="O282" s="67"/>
      <c r="P282" s="68"/>
      <c r="Q282" s="67"/>
      <c r="R282" s="67"/>
      <c r="S282" s="69" t="s">
        <v>61</v>
      </c>
      <c r="T282" s="69">
        <v>208000</v>
      </c>
      <c r="U282" s="69"/>
      <c r="V282" s="69" t="s">
        <v>62</v>
      </c>
      <c r="W282" s="69">
        <v>5761.4</v>
      </c>
      <c r="X282" s="69"/>
      <c r="Y282" s="69" t="s">
        <v>63</v>
      </c>
      <c r="Z282" s="69">
        <v>1197</v>
      </c>
      <c r="AA282" s="69"/>
      <c r="AB282" s="70"/>
      <c r="AC282" s="69" t="s">
        <v>72</v>
      </c>
      <c r="AD282" s="69"/>
      <c r="AE282" s="71">
        <v>103700</v>
      </c>
      <c r="AF282" s="69"/>
      <c r="AG282" s="3" t="str">
        <f t="shared" si="8"/>
        <v>JasonLoftus</v>
      </c>
      <c r="AH282" s="3" t="e">
        <f>VLOOKUP($AG282,[1]Sheet8!$B:$G,1,0)</f>
        <v>#N/A</v>
      </c>
      <c r="AI282" s="3" t="e">
        <f>VLOOKUP($AG282,[1]Sheet8!$B:$G,4,0)</f>
        <v>#N/A</v>
      </c>
      <c r="AJ282" s="3" t="e">
        <f>VLOOKUP($AG282,[1]Sheet8!$B:$G,5,0)</f>
        <v>#N/A</v>
      </c>
      <c r="AK282" s="3" t="e">
        <f>VLOOKUP($AG282,[1]Sheet8!$B:$G,6,0)</f>
        <v>#N/A</v>
      </c>
    </row>
    <row r="283" s="3" customFormat="1" ht="15" customHeight="1" spans="1:46">
      <c r="A283" s="60">
        <v>258</v>
      </c>
      <c r="B283" s="61" t="s">
        <v>576</v>
      </c>
      <c r="C283" s="61" t="s">
        <v>577</v>
      </c>
      <c r="D283" s="61" t="s">
        <v>52</v>
      </c>
      <c r="E283" s="62">
        <v>35208</v>
      </c>
      <c r="F283" s="61">
        <v>11101</v>
      </c>
      <c r="G283" s="61" t="s">
        <v>53</v>
      </c>
      <c r="H283" s="63" t="s">
        <v>54</v>
      </c>
      <c r="I283" s="64" t="s">
        <v>53</v>
      </c>
      <c r="J283" s="63" t="s">
        <v>56</v>
      </c>
      <c r="K283" s="65" t="s">
        <v>82</v>
      </c>
      <c r="L283" s="66">
        <v>781.79</v>
      </c>
      <c r="M283" s="67" t="s">
        <v>53</v>
      </c>
      <c r="N283" s="67" t="s">
        <v>59</v>
      </c>
      <c r="O283" s="67">
        <v>42.39</v>
      </c>
      <c r="P283" s="68" t="s">
        <v>53</v>
      </c>
      <c r="Q283" s="67" t="s">
        <v>60</v>
      </c>
      <c r="R283" s="67">
        <v>8.22</v>
      </c>
      <c r="S283" s="69" t="s">
        <v>61</v>
      </c>
      <c r="T283" s="69">
        <v>189000</v>
      </c>
      <c r="U283" s="69"/>
      <c r="V283" s="69" t="s">
        <v>62</v>
      </c>
      <c r="W283" s="69">
        <v>5238.93</v>
      </c>
      <c r="X283" s="69"/>
      <c r="Y283" s="69" t="s">
        <v>63</v>
      </c>
      <c r="Z283" s="69">
        <v>1088</v>
      </c>
      <c r="AA283" s="69"/>
      <c r="AB283" s="70"/>
      <c r="AC283" s="69" t="s">
        <v>578</v>
      </c>
      <c r="AD283" s="69"/>
      <c r="AE283" s="71">
        <v>97125</v>
      </c>
      <c r="AF283" s="69"/>
      <c r="AG283" s="3" t="str">
        <f t="shared" si="8"/>
        <v>MiaoLong</v>
      </c>
      <c r="AH283" s="3" t="str">
        <f>VLOOKUP($AG283,[1]Sheet8!$B:$G,1,0)</f>
        <v>MIAOLONG</v>
      </c>
      <c r="AI283" s="3" t="str">
        <f>VLOOKUP($AG283,[1]Sheet8!$B:$G,4,0)</f>
        <v>EE</v>
      </c>
      <c r="AJ283" s="3" t="str">
        <f>VLOOKUP($AG283,[1]Sheet8!$B:$G,5,0)</f>
        <v>L093530003</v>
      </c>
      <c r="AK283" s="3">
        <f>VLOOKUP($AG283,[1]Sheet8!$B:$G,6,0)</f>
        <v>8.22</v>
      </c>
      <c r="AL283" s="3" t="s">
        <v>53</v>
      </c>
      <c r="AM283" s="3" t="s">
        <v>82</v>
      </c>
      <c r="AN283" s="3">
        <v>781.79</v>
      </c>
      <c r="AO283" s="3" t="s">
        <v>53</v>
      </c>
      <c r="AP283" s="3" t="s">
        <v>59</v>
      </c>
      <c r="AQ283" s="3">
        <v>42.39</v>
      </c>
      <c r="AR283" s="3" t="s">
        <v>53</v>
      </c>
      <c r="AS283" s="3" t="s">
        <v>60</v>
      </c>
      <c r="AT283" s="3">
        <v>8.22</v>
      </c>
    </row>
    <row r="284" s="3" customFormat="1" ht="15" customHeight="1" spans="1:46">
      <c r="A284" s="60">
        <v>259</v>
      </c>
      <c r="B284" s="61" t="s">
        <v>579</v>
      </c>
      <c r="C284" s="61" t="s">
        <v>580</v>
      </c>
      <c r="D284" s="61" t="s">
        <v>52</v>
      </c>
      <c r="E284" s="62">
        <v>30799</v>
      </c>
      <c r="F284" s="61">
        <v>33703</v>
      </c>
      <c r="G284" s="61" t="s">
        <v>53</v>
      </c>
      <c r="H284" s="63" t="s">
        <v>54</v>
      </c>
      <c r="I284" s="64" t="s">
        <v>55</v>
      </c>
      <c r="J284" s="63" t="s">
        <v>56</v>
      </c>
      <c r="K284" s="65" t="s">
        <v>82</v>
      </c>
      <c r="L284" s="66">
        <v>1407.23</v>
      </c>
      <c r="M284" s="67" t="s">
        <v>81</v>
      </c>
      <c r="N284" s="67" t="s">
        <v>59</v>
      </c>
      <c r="O284" s="67">
        <v>84.72</v>
      </c>
      <c r="P284" s="68" t="s">
        <v>55</v>
      </c>
      <c r="Q284" s="67" t="s">
        <v>60</v>
      </c>
      <c r="R284" s="67">
        <v>13.95</v>
      </c>
      <c r="S284" s="69" t="s">
        <v>61</v>
      </c>
      <c r="T284" s="69">
        <v>250000</v>
      </c>
      <c r="U284" s="69"/>
      <c r="V284" s="69" t="s">
        <v>62</v>
      </c>
      <c r="W284" s="69">
        <v>8411.98</v>
      </c>
      <c r="X284" s="69"/>
      <c r="Y284" s="69" t="s">
        <v>63</v>
      </c>
      <c r="Z284" s="69">
        <v>1747</v>
      </c>
      <c r="AA284" s="69"/>
      <c r="AB284" s="70"/>
      <c r="AC284" s="69" t="s">
        <v>581</v>
      </c>
      <c r="AD284" s="69"/>
      <c r="AE284" s="71">
        <v>159736</v>
      </c>
      <c r="AF284" s="69"/>
      <c r="AG284" s="3" t="str">
        <f t="shared" si="8"/>
        <v>BernadetteLongart Gonzalez</v>
      </c>
      <c r="AH284" s="3" t="str">
        <f>VLOOKUP($AG284,[1]Sheet8!$B:$G,1,0)</f>
        <v>BERNADETTELONGART GONZALEZ</v>
      </c>
      <c r="AI284" s="3" t="str">
        <f>VLOOKUP($AG284,[1]Sheet8!$B:$G,4,0)</f>
        <v>EC</v>
      </c>
      <c r="AJ284" s="3" t="str">
        <f>VLOOKUP($AG284,[1]Sheet8!$B:$G,5,0)</f>
        <v>L093530003</v>
      </c>
      <c r="AK284" s="3">
        <f>VLOOKUP($AG284,[1]Sheet8!$B:$G,6,0)</f>
        <v>13.95</v>
      </c>
      <c r="AL284" s="3" t="s">
        <v>55</v>
      </c>
      <c r="AM284" s="3" t="s">
        <v>82</v>
      </c>
      <c r="AN284" s="3">
        <v>1407.23</v>
      </c>
      <c r="AO284" s="3" t="s">
        <v>81</v>
      </c>
      <c r="AP284" s="3" t="s">
        <v>59</v>
      </c>
      <c r="AQ284" s="3">
        <v>84.72</v>
      </c>
      <c r="AR284" s="3" t="s">
        <v>55</v>
      </c>
      <c r="AS284" s="3" t="s">
        <v>60</v>
      </c>
      <c r="AT284" s="3">
        <v>13.95</v>
      </c>
    </row>
    <row r="285" s="3" customFormat="1" ht="15" customHeight="1" spans="1:46">
      <c r="A285" s="60">
        <v>260</v>
      </c>
      <c r="B285" s="61" t="s">
        <v>582</v>
      </c>
      <c r="C285" s="61" t="s">
        <v>583</v>
      </c>
      <c r="D285" s="61" t="s">
        <v>52</v>
      </c>
      <c r="E285" s="62">
        <v>42850</v>
      </c>
      <c r="F285" s="61">
        <v>33703</v>
      </c>
      <c r="G285" s="61" t="s">
        <v>68</v>
      </c>
      <c r="H285" s="63">
        <v>259</v>
      </c>
      <c r="I285" s="64" t="s">
        <v>55</v>
      </c>
      <c r="J285" s="63" t="s">
        <v>56</v>
      </c>
      <c r="K285" s="65"/>
      <c r="L285" s="66"/>
      <c r="M285" s="67"/>
      <c r="N285" s="67"/>
      <c r="O285" s="67"/>
      <c r="P285" s="68"/>
      <c r="Q285" s="67"/>
      <c r="R285" s="67"/>
      <c r="S285" s="69"/>
      <c r="T285" s="69"/>
      <c r="U285" s="69"/>
      <c r="V285" s="69"/>
      <c r="W285" s="69"/>
      <c r="X285" s="69"/>
      <c r="Y285" s="69"/>
      <c r="Z285" s="69"/>
      <c r="AA285" s="69"/>
      <c r="AB285" s="70"/>
      <c r="AC285" s="69"/>
      <c r="AD285" s="69"/>
      <c r="AE285" s="71"/>
      <c r="AF285" s="69"/>
    </row>
    <row r="286" s="3" customFormat="1" ht="15" customHeight="1" spans="1:46">
      <c r="A286" s="60">
        <v>261</v>
      </c>
      <c r="B286" s="61" t="s">
        <v>584</v>
      </c>
      <c r="C286" s="61" t="s">
        <v>585</v>
      </c>
      <c r="D286" s="61" t="s">
        <v>52</v>
      </c>
      <c r="E286" s="62">
        <v>35975</v>
      </c>
      <c r="F286" s="61">
        <v>10021</v>
      </c>
      <c r="G286" s="61" t="s">
        <v>53</v>
      </c>
      <c r="H286" s="63" t="s">
        <v>54</v>
      </c>
      <c r="I286" s="64" t="s">
        <v>53</v>
      </c>
      <c r="J286" s="63" t="s">
        <v>56</v>
      </c>
      <c r="K286" s="65" t="s">
        <v>82</v>
      </c>
      <c r="L286" s="66">
        <v>781.79</v>
      </c>
      <c r="M286" s="67" t="s">
        <v>53</v>
      </c>
      <c r="N286" s="67" t="s">
        <v>59</v>
      </c>
      <c r="O286" s="67">
        <v>42.39</v>
      </c>
      <c r="P286" s="68" t="s">
        <v>53</v>
      </c>
      <c r="Q286" s="67" t="s">
        <v>60</v>
      </c>
      <c r="R286" s="67">
        <v>8.22</v>
      </c>
      <c r="S286" s="69" t="s">
        <v>61</v>
      </c>
      <c r="T286" s="69">
        <v>160000</v>
      </c>
      <c r="U286" s="69"/>
      <c r="V286" s="69" t="s">
        <v>62</v>
      </c>
      <c r="W286" s="69">
        <v>4422.78</v>
      </c>
      <c r="X286" s="69"/>
      <c r="Y286" s="69" t="s">
        <v>63</v>
      </c>
      <c r="Z286" s="69">
        <v>919</v>
      </c>
      <c r="AA286" s="69"/>
      <c r="AB286" s="70"/>
      <c r="AC286" s="69" t="s">
        <v>586</v>
      </c>
      <c r="AD286" s="69"/>
      <c r="AE286" s="71">
        <v>81994</v>
      </c>
      <c r="AF286" s="69"/>
      <c r="AG286" s="3" t="str">
        <f t="shared" ref="AG286:AG291" si="9">B286&amp;C286</f>
        <v>SidneyLopez</v>
      </c>
      <c r="AH286" s="3" t="str">
        <f>VLOOKUP($AG286,[1]Sheet8!$B:$G,1,0)</f>
        <v>SIDNEYLOPEZ</v>
      </c>
      <c r="AI286" s="3" t="str">
        <f>VLOOKUP($AG286,[1]Sheet8!$B:$G,4,0)</f>
        <v>EE</v>
      </c>
      <c r="AJ286" s="3" t="str">
        <f>VLOOKUP($AG286,[1]Sheet8!$B:$G,5,0)</f>
        <v>L093530003</v>
      </c>
      <c r="AK286" s="3">
        <f>VLOOKUP($AG286,[1]Sheet8!$B:$G,6,0)</f>
        <v>8.22</v>
      </c>
      <c r="AL286" s="3" t="s">
        <v>53</v>
      </c>
      <c r="AM286" s="3" t="s">
        <v>82</v>
      </c>
      <c r="AN286" s="3">
        <v>781.79</v>
      </c>
      <c r="AO286" s="3" t="s">
        <v>53</v>
      </c>
      <c r="AP286" s="3" t="s">
        <v>59</v>
      </c>
      <c r="AQ286" s="3">
        <v>42.39</v>
      </c>
      <c r="AR286" s="3" t="s">
        <v>53</v>
      </c>
      <c r="AS286" s="3" t="s">
        <v>60</v>
      </c>
      <c r="AT286" s="3">
        <v>8.22</v>
      </c>
    </row>
    <row r="287" s="3" customFormat="1" ht="15" customHeight="1" spans="1:46">
      <c r="A287" s="60">
        <v>262</v>
      </c>
      <c r="B287" s="61" t="s">
        <v>469</v>
      </c>
      <c r="C287" s="61" t="s">
        <v>587</v>
      </c>
      <c r="D287" s="61" t="s">
        <v>67</v>
      </c>
      <c r="E287" s="62">
        <v>34408</v>
      </c>
      <c r="F287" s="61">
        <v>60657</v>
      </c>
      <c r="G287" s="61" t="s">
        <v>53</v>
      </c>
      <c r="H287" s="63" t="s">
        <v>54</v>
      </c>
      <c r="I287" s="64" t="s">
        <v>119</v>
      </c>
      <c r="J287" s="63" t="s">
        <v>56</v>
      </c>
      <c r="K287" s="65"/>
      <c r="L287" s="66"/>
      <c r="M287" s="67"/>
      <c r="N287" s="67"/>
      <c r="O287" s="67"/>
      <c r="P287" s="68"/>
      <c r="Q287" s="67"/>
      <c r="R287" s="67"/>
      <c r="S287" s="69" t="s">
        <v>61</v>
      </c>
      <c r="T287" s="69">
        <v>187000</v>
      </c>
      <c r="U287" s="69"/>
      <c r="V287" s="69" t="s">
        <v>62</v>
      </c>
      <c r="W287" s="69">
        <v>5191.04</v>
      </c>
      <c r="X287" s="69"/>
      <c r="Y287" s="69" t="s">
        <v>63</v>
      </c>
      <c r="Z287" s="69">
        <v>1078</v>
      </c>
      <c r="AA287" s="69"/>
      <c r="AB287" s="70"/>
      <c r="AC287" s="69" t="s">
        <v>141</v>
      </c>
      <c r="AD287" s="69"/>
      <c r="AE287" s="71">
        <v>96237</v>
      </c>
      <c r="AF287" s="69"/>
      <c r="AG287" s="3" t="str">
        <f t="shared" si="9"/>
        <v>ZacharyLorenzen</v>
      </c>
      <c r="AH287" s="3" t="e">
        <f>VLOOKUP($AG287,[1]Sheet8!$B:$G,1,0)</f>
        <v>#N/A</v>
      </c>
      <c r="AI287" s="3" t="e">
        <f>VLOOKUP($AG287,[1]Sheet8!$B:$G,4,0)</f>
        <v>#N/A</v>
      </c>
      <c r="AJ287" s="3" t="e">
        <f>VLOOKUP($AG287,[1]Sheet8!$B:$G,5,0)</f>
        <v>#N/A</v>
      </c>
      <c r="AK287" s="3" t="e">
        <f>VLOOKUP($AG287,[1]Sheet8!$B:$G,6,0)</f>
        <v>#N/A</v>
      </c>
    </row>
    <row r="288" s="3" customFormat="1" ht="15" customHeight="1" spans="1:46">
      <c r="A288" s="60">
        <v>263</v>
      </c>
      <c r="B288" s="61" t="s">
        <v>588</v>
      </c>
      <c r="C288" s="61" t="s">
        <v>589</v>
      </c>
      <c r="D288" s="61" t="s">
        <v>52</v>
      </c>
      <c r="E288" s="62">
        <v>23877</v>
      </c>
      <c r="F288" s="61">
        <v>94539</v>
      </c>
      <c r="G288" s="61" t="s">
        <v>53</v>
      </c>
      <c r="H288" s="63" t="s">
        <v>54</v>
      </c>
      <c r="I288" s="64" t="s">
        <v>119</v>
      </c>
      <c r="J288" s="63" t="s">
        <v>56</v>
      </c>
      <c r="K288" s="65"/>
      <c r="L288" s="66"/>
      <c r="M288" s="67"/>
      <c r="N288" s="67"/>
      <c r="O288" s="67"/>
      <c r="P288" s="68"/>
      <c r="Q288" s="67"/>
      <c r="R288" s="67"/>
      <c r="S288" s="69" t="s">
        <v>61</v>
      </c>
      <c r="T288" s="69">
        <v>218000</v>
      </c>
      <c r="U288" s="69"/>
      <c r="V288" s="69" t="s">
        <v>62</v>
      </c>
      <c r="W288" s="69">
        <v>6033.91</v>
      </c>
      <c r="X288" s="69"/>
      <c r="Y288" s="69" t="s">
        <v>63</v>
      </c>
      <c r="Z288" s="69">
        <v>1253</v>
      </c>
      <c r="AA288" s="69"/>
      <c r="AB288" s="70"/>
      <c r="AC288" s="69" t="s">
        <v>590</v>
      </c>
      <c r="AD288" s="69"/>
      <c r="AE288" s="71">
        <v>111863</v>
      </c>
      <c r="AF288" s="69"/>
      <c r="AG288" s="3" t="str">
        <f t="shared" si="9"/>
        <v>NighatLotia</v>
      </c>
      <c r="AH288" s="3" t="e">
        <f>VLOOKUP($AG288,[1]Sheet8!$B:$G,1,0)</f>
        <v>#N/A</v>
      </c>
      <c r="AI288" s="3" t="e">
        <f>VLOOKUP($AG288,[1]Sheet8!$B:$G,4,0)</f>
        <v>#N/A</v>
      </c>
      <c r="AJ288" s="3" t="e">
        <f>VLOOKUP($AG288,[1]Sheet8!$B:$G,5,0)</f>
        <v>#N/A</v>
      </c>
      <c r="AK288" s="3" t="e">
        <f>VLOOKUP($AG288,[1]Sheet8!$B:$G,6,0)</f>
        <v>#N/A</v>
      </c>
    </row>
    <row r="289" s="3" customFormat="1" ht="15" customHeight="1" spans="1:46">
      <c r="A289" s="60">
        <v>264</v>
      </c>
      <c r="B289" s="61" t="s">
        <v>430</v>
      </c>
      <c r="C289" s="61" t="s">
        <v>591</v>
      </c>
      <c r="D289" s="61" t="s">
        <v>52</v>
      </c>
      <c r="E289" s="62">
        <v>29390</v>
      </c>
      <c r="F289" s="61">
        <v>10463</v>
      </c>
      <c r="G289" s="61" t="s">
        <v>53</v>
      </c>
      <c r="H289" s="63" t="s">
        <v>54</v>
      </c>
      <c r="I289" s="64" t="s">
        <v>119</v>
      </c>
      <c r="J289" s="63" t="s">
        <v>56</v>
      </c>
      <c r="K289" s="65"/>
      <c r="L289" s="66"/>
      <c r="M289" s="67"/>
      <c r="N289" s="67"/>
      <c r="O289" s="67"/>
      <c r="P289" s="68"/>
      <c r="Q289" s="67"/>
      <c r="R289" s="67"/>
      <c r="S289" s="69" t="s">
        <v>61</v>
      </c>
      <c r="T289" s="69">
        <v>218000</v>
      </c>
      <c r="U289" s="69"/>
      <c r="V289" s="69" t="s">
        <v>62</v>
      </c>
      <c r="W289" s="69">
        <v>6055.25</v>
      </c>
      <c r="X289" s="69"/>
      <c r="Y289" s="69" t="s">
        <v>63</v>
      </c>
      <c r="Z289" s="69">
        <v>1258</v>
      </c>
      <c r="AA289" s="69"/>
      <c r="AB289" s="70"/>
      <c r="AC289" s="69" t="s">
        <v>473</v>
      </c>
      <c r="AD289" s="69"/>
      <c r="AE289" s="71">
        <v>112258</v>
      </c>
      <c r="AF289" s="69"/>
      <c r="AG289" s="3" t="str">
        <f t="shared" si="9"/>
        <v>AmandaLowe</v>
      </c>
      <c r="AH289" s="3" t="e">
        <f>VLOOKUP($AG289,[1]Sheet8!$B:$G,1,0)</f>
        <v>#N/A</v>
      </c>
      <c r="AI289" s="3" t="e">
        <f>VLOOKUP($AG289,[1]Sheet8!$B:$G,4,0)</f>
        <v>#N/A</v>
      </c>
      <c r="AJ289" s="3" t="e">
        <f>VLOOKUP($AG289,[1]Sheet8!$B:$G,5,0)</f>
        <v>#N/A</v>
      </c>
      <c r="AK289" s="3" t="e">
        <f>VLOOKUP($AG289,[1]Sheet8!$B:$G,6,0)</f>
        <v>#N/A</v>
      </c>
    </row>
    <row r="290" s="3" customFormat="1" ht="15" customHeight="1" spans="1:46">
      <c r="A290" s="60">
        <v>265</v>
      </c>
      <c r="B290" s="61" t="s">
        <v>592</v>
      </c>
      <c r="C290" s="61" t="s">
        <v>593</v>
      </c>
      <c r="D290" s="61" t="s">
        <v>52</v>
      </c>
      <c r="E290" s="62">
        <v>33028</v>
      </c>
      <c r="F290" s="61">
        <v>27539</v>
      </c>
      <c r="G290" s="61" t="s">
        <v>53</v>
      </c>
      <c r="H290" s="63" t="s">
        <v>54</v>
      </c>
      <c r="I290" s="64" t="s">
        <v>53</v>
      </c>
      <c r="J290" s="63" t="s">
        <v>56</v>
      </c>
      <c r="K290" s="65" t="s">
        <v>82</v>
      </c>
      <c r="L290" s="66">
        <v>781.79</v>
      </c>
      <c r="M290" s="67" t="s">
        <v>53</v>
      </c>
      <c r="N290" s="67" t="s">
        <v>59</v>
      </c>
      <c r="O290" s="67">
        <v>42.39</v>
      </c>
      <c r="P290" s="68" t="s">
        <v>53</v>
      </c>
      <c r="Q290" s="67" t="s">
        <v>60</v>
      </c>
      <c r="R290" s="67">
        <v>8.22</v>
      </c>
      <c r="S290" s="69" t="s">
        <v>61</v>
      </c>
      <c r="T290" s="69">
        <v>250000</v>
      </c>
      <c r="U290" s="69"/>
      <c r="V290" s="69" t="s">
        <v>62</v>
      </c>
      <c r="W290" s="69">
        <v>7915.73</v>
      </c>
      <c r="X290" s="69"/>
      <c r="Y290" s="69" t="s">
        <v>63</v>
      </c>
      <c r="Z290" s="69">
        <v>1644</v>
      </c>
      <c r="AA290" s="69"/>
      <c r="AB290" s="70"/>
      <c r="AC290" s="69" t="s">
        <v>98</v>
      </c>
      <c r="AD290" s="69"/>
      <c r="AE290" s="71">
        <v>147747</v>
      </c>
      <c r="AF290" s="69"/>
      <c r="AG290" s="3" t="str">
        <f t="shared" si="9"/>
        <v>CynthiaLu</v>
      </c>
      <c r="AH290" s="3" t="str">
        <f>VLOOKUP($AG290,[1]Sheet8!$B:$G,1,0)</f>
        <v>CYNTHIALU</v>
      </c>
      <c r="AI290" s="3" t="str">
        <f>VLOOKUP($AG290,[1]Sheet8!$B:$G,4,0)</f>
        <v>EE</v>
      </c>
      <c r="AJ290" s="3" t="str">
        <f>VLOOKUP($AG290,[1]Sheet8!$B:$G,5,0)</f>
        <v>L093530003</v>
      </c>
      <c r="AK290" s="3">
        <f>VLOOKUP($AG290,[1]Sheet8!$B:$G,6,0)</f>
        <v>8.22</v>
      </c>
      <c r="AL290" s="3" t="s">
        <v>53</v>
      </c>
      <c r="AM290" s="3" t="s">
        <v>82</v>
      </c>
      <c r="AN290" s="3">
        <v>781.79</v>
      </c>
      <c r="AO290" s="3" t="s">
        <v>53</v>
      </c>
      <c r="AP290" s="3" t="s">
        <v>59</v>
      </c>
      <c r="AQ290" s="3">
        <v>42.39</v>
      </c>
      <c r="AR290" s="3" t="s">
        <v>53</v>
      </c>
      <c r="AS290" s="3" t="s">
        <v>60</v>
      </c>
      <c r="AT290" s="3">
        <v>8.22</v>
      </c>
    </row>
    <row r="291" s="3" customFormat="1" ht="15" customHeight="1" spans="1:46">
      <c r="A291" s="60">
        <v>266</v>
      </c>
      <c r="B291" s="61" t="s">
        <v>594</v>
      </c>
      <c r="C291" s="61" t="s">
        <v>595</v>
      </c>
      <c r="D291" s="61" t="s">
        <v>67</v>
      </c>
      <c r="E291" s="62">
        <v>22928</v>
      </c>
      <c r="F291" s="61" t="s">
        <v>596</v>
      </c>
      <c r="G291" s="61" t="s">
        <v>53</v>
      </c>
      <c r="H291" s="63" t="s">
        <v>54</v>
      </c>
      <c r="I291" s="64" t="s">
        <v>81</v>
      </c>
      <c r="J291" s="63" t="s">
        <v>56</v>
      </c>
      <c r="K291" s="65" t="s">
        <v>57</v>
      </c>
      <c r="L291" s="66">
        <v>2718.81</v>
      </c>
      <c r="M291" s="67" t="s">
        <v>81</v>
      </c>
      <c r="N291" s="67" t="s">
        <v>59</v>
      </c>
      <c r="O291" s="67">
        <v>84.72</v>
      </c>
      <c r="P291" s="68" t="s">
        <v>81</v>
      </c>
      <c r="Q291" s="67" t="s">
        <v>60</v>
      </c>
      <c r="R291" s="67">
        <v>16.48</v>
      </c>
      <c r="S291" s="69" t="s">
        <v>61</v>
      </c>
      <c r="T291" s="69">
        <v>250000</v>
      </c>
      <c r="U291" s="69"/>
      <c r="V291" s="69" t="s">
        <v>62</v>
      </c>
      <c r="W291" s="69">
        <v>10000</v>
      </c>
      <c r="X291" s="69"/>
      <c r="Y291" s="69" t="s">
        <v>63</v>
      </c>
      <c r="Z291" s="69">
        <v>2000</v>
      </c>
      <c r="AA291" s="69"/>
      <c r="AB291" s="70"/>
      <c r="AC291" s="69" t="s">
        <v>597</v>
      </c>
      <c r="AD291" s="69"/>
      <c r="AE291" s="71">
        <v>272641</v>
      </c>
      <c r="AF291" s="69"/>
      <c r="AG291" s="3" t="str">
        <f t="shared" si="9"/>
        <v>ChristopherLubniewski</v>
      </c>
      <c r="AH291" s="3" t="str">
        <f>VLOOKUP($AG291,[1]Sheet8!$B:$G,1,0)</f>
        <v>CHRISTOPHERLUBNIEWSKI</v>
      </c>
      <c r="AI291" s="3" t="str">
        <f>VLOOKUP($AG291,[1]Sheet8!$B:$G,4,0)</f>
        <v>ES</v>
      </c>
      <c r="AJ291" s="3" t="str">
        <f>VLOOKUP($AG291,[1]Sheet8!$B:$G,5,0)</f>
        <v>L093530003</v>
      </c>
      <c r="AK291" s="3">
        <f>VLOOKUP($AG291,[1]Sheet8!$B:$G,6,0)</f>
        <v>16.48</v>
      </c>
      <c r="AL291" s="3" t="s">
        <v>81</v>
      </c>
      <c r="AM291" s="3" t="s">
        <v>57</v>
      </c>
      <c r="AN291" s="3">
        <v>2718.81</v>
      </c>
      <c r="AO291" s="3" t="s">
        <v>81</v>
      </c>
      <c r="AP291" s="3" t="s">
        <v>59</v>
      </c>
      <c r="AQ291" s="3">
        <v>84.72</v>
      </c>
      <c r="AR291" s="3" t="s">
        <v>81</v>
      </c>
      <c r="AS291" s="3" t="s">
        <v>60</v>
      </c>
      <c r="AT291" s="3">
        <v>16.48</v>
      </c>
    </row>
    <row r="292" s="3" customFormat="1" ht="15" customHeight="1" spans="1:46">
      <c r="A292" s="60">
        <v>267</v>
      </c>
      <c r="B292" s="61" t="s">
        <v>598</v>
      </c>
      <c r="C292" s="61" t="s">
        <v>186</v>
      </c>
      <c r="D292" s="61" t="s">
        <v>52</v>
      </c>
      <c r="E292" s="62">
        <v>25496</v>
      </c>
      <c r="F292" s="61" t="s">
        <v>596</v>
      </c>
      <c r="G292" s="61" t="s">
        <v>85</v>
      </c>
      <c r="H292" s="63">
        <v>266</v>
      </c>
      <c r="I292" s="64" t="s">
        <v>81</v>
      </c>
      <c r="J292" s="63" t="s">
        <v>56</v>
      </c>
      <c r="K292" s="65"/>
      <c r="L292" s="66"/>
      <c r="M292" s="67"/>
      <c r="N292" s="67"/>
      <c r="O292" s="67"/>
      <c r="P292" s="68"/>
      <c r="Q292" s="67"/>
      <c r="R292" s="67"/>
      <c r="S292" s="69"/>
      <c r="T292" s="69"/>
      <c r="U292" s="69"/>
      <c r="V292" s="69"/>
      <c r="W292" s="69"/>
      <c r="X292" s="69"/>
      <c r="Y292" s="69"/>
      <c r="Z292" s="69"/>
      <c r="AA292" s="69"/>
      <c r="AB292" s="70"/>
      <c r="AC292" s="69"/>
      <c r="AD292" s="69"/>
      <c r="AE292" s="71"/>
      <c r="AF292" s="69"/>
    </row>
    <row r="293" s="3" customFormat="1" ht="15" customHeight="1" spans="1:46">
      <c r="A293" s="60">
        <v>268</v>
      </c>
      <c r="B293" s="61" t="s">
        <v>453</v>
      </c>
      <c r="C293" s="61" t="s">
        <v>599</v>
      </c>
      <c r="D293" s="61" t="s">
        <v>67</v>
      </c>
      <c r="E293" s="62">
        <v>33541</v>
      </c>
      <c r="F293" s="61">
        <v>11385</v>
      </c>
      <c r="G293" s="61" t="s">
        <v>53</v>
      </c>
      <c r="H293" s="63" t="s">
        <v>54</v>
      </c>
      <c r="I293" s="64" t="s">
        <v>53</v>
      </c>
      <c r="J293" s="63" t="s">
        <v>56</v>
      </c>
      <c r="K293" s="65" t="s">
        <v>57</v>
      </c>
      <c r="L293" s="66">
        <v>1235.83</v>
      </c>
      <c r="M293" s="67" t="s">
        <v>53</v>
      </c>
      <c r="N293" s="67" t="s">
        <v>59</v>
      </c>
      <c r="O293" s="67">
        <v>42.39</v>
      </c>
      <c r="P293" s="68" t="s">
        <v>53</v>
      </c>
      <c r="Q293" s="67" t="s">
        <v>60</v>
      </c>
      <c r="R293" s="67">
        <v>8.22</v>
      </c>
      <c r="S293" s="69" t="s">
        <v>61</v>
      </c>
      <c r="T293" s="69">
        <v>155000</v>
      </c>
      <c r="U293" s="69"/>
      <c r="V293" s="69" t="s">
        <v>62</v>
      </c>
      <c r="W293" s="69">
        <v>4291.88</v>
      </c>
      <c r="X293" s="69"/>
      <c r="Y293" s="69" t="s">
        <v>63</v>
      </c>
      <c r="Z293" s="69">
        <v>891</v>
      </c>
      <c r="AA293" s="69"/>
      <c r="AB293" s="70"/>
      <c r="AC293" s="69" t="s">
        <v>106</v>
      </c>
      <c r="AD293" s="69"/>
      <c r="AE293" s="71">
        <v>78409</v>
      </c>
      <c r="AF293" s="69"/>
      <c r="AG293" s="3" t="str">
        <f>B293&amp;C293</f>
        <v>JonathanLucas Sacta</v>
      </c>
      <c r="AH293" s="3" t="str">
        <f>VLOOKUP($AG293,[1]Sheet8!$B:$G,1,0)</f>
        <v>JONATHANLUCAS SACTA</v>
      </c>
      <c r="AI293" s="3" t="str">
        <f>VLOOKUP($AG293,[1]Sheet8!$B:$G,4,0)</f>
        <v>EE</v>
      </c>
      <c r="AJ293" s="3" t="str">
        <f>VLOOKUP($AG293,[1]Sheet8!$B:$G,5,0)</f>
        <v>L093530003</v>
      </c>
      <c r="AK293" s="3">
        <f>VLOOKUP($AG293,[1]Sheet8!$B:$G,6,0)</f>
        <v>8.22</v>
      </c>
      <c r="AL293" s="3" t="s">
        <v>53</v>
      </c>
      <c r="AM293" s="3" t="s">
        <v>57</v>
      </c>
      <c r="AN293" s="3">
        <v>1235.83</v>
      </c>
      <c r="AO293" s="3" t="s">
        <v>53</v>
      </c>
      <c r="AP293" s="3" t="s">
        <v>59</v>
      </c>
      <c r="AQ293" s="3">
        <v>42.39</v>
      </c>
      <c r="AR293" s="3" t="s">
        <v>53</v>
      </c>
      <c r="AS293" s="3" t="s">
        <v>60</v>
      </c>
      <c r="AT293" s="3">
        <v>8.22</v>
      </c>
    </row>
    <row r="294" s="3" customFormat="1" ht="15" customHeight="1" spans="1:46">
      <c r="A294" s="60">
        <v>269</v>
      </c>
      <c r="B294" s="61" t="s">
        <v>320</v>
      </c>
      <c r="C294" s="61" t="s">
        <v>600</v>
      </c>
      <c r="D294" s="61" t="s">
        <v>67</v>
      </c>
      <c r="E294" s="62">
        <v>24468</v>
      </c>
      <c r="F294" s="61" t="s">
        <v>601</v>
      </c>
      <c r="G294" s="61" t="s">
        <v>53</v>
      </c>
      <c r="H294" s="63" t="s">
        <v>54</v>
      </c>
      <c r="I294" s="64" t="s">
        <v>58</v>
      </c>
      <c r="J294" s="63" t="s">
        <v>56</v>
      </c>
      <c r="K294" s="65" t="s">
        <v>57</v>
      </c>
      <c r="L294" s="66">
        <v>3831.06</v>
      </c>
      <c r="M294" s="67" t="s">
        <v>58</v>
      </c>
      <c r="N294" s="67" t="s">
        <v>59</v>
      </c>
      <c r="O294" s="67">
        <v>147.1</v>
      </c>
      <c r="P294" s="68" t="s">
        <v>58</v>
      </c>
      <c r="Q294" s="67" t="s">
        <v>60</v>
      </c>
      <c r="R294" s="67">
        <v>23</v>
      </c>
      <c r="S294" s="69" t="s">
        <v>61</v>
      </c>
      <c r="T294" s="69">
        <v>250000</v>
      </c>
      <c r="U294" s="69"/>
      <c r="V294" s="69" t="s">
        <v>62</v>
      </c>
      <c r="W294" s="69">
        <v>10000</v>
      </c>
      <c r="X294" s="69"/>
      <c r="Y294" s="69" t="s">
        <v>63</v>
      </c>
      <c r="Z294" s="69">
        <v>2000</v>
      </c>
      <c r="AA294" s="69"/>
      <c r="AB294" s="70"/>
      <c r="AC294" s="69" t="s">
        <v>233</v>
      </c>
      <c r="AD294" s="69"/>
      <c r="AE294" s="71">
        <v>371821</v>
      </c>
      <c r="AF294" s="69"/>
      <c r="AG294" s="3" t="str">
        <f>B294&amp;C294</f>
        <v>PaulLundquist</v>
      </c>
      <c r="AH294" s="3" t="str">
        <f>VLOOKUP($AG294,[1]Sheet8!$B:$G,1,0)</f>
        <v>PAULLUNDQUIST</v>
      </c>
      <c r="AI294" s="3" t="str">
        <f>VLOOKUP($AG294,[1]Sheet8!$B:$G,4,0)</f>
        <v>FAM</v>
      </c>
      <c r="AJ294" s="3" t="str">
        <f>VLOOKUP($AG294,[1]Sheet8!$B:$G,5,0)</f>
        <v>L093530003</v>
      </c>
      <c r="AK294" s="3">
        <f>VLOOKUP($AG294,[1]Sheet8!$B:$G,6,0)</f>
        <v>23</v>
      </c>
      <c r="AL294" s="3" t="s">
        <v>58</v>
      </c>
      <c r="AM294" s="3" t="s">
        <v>57</v>
      </c>
      <c r="AN294" s="3">
        <v>3831.06</v>
      </c>
      <c r="AO294" s="3" t="s">
        <v>58</v>
      </c>
      <c r="AP294" s="3" t="s">
        <v>59</v>
      </c>
      <c r="AQ294" s="3">
        <v>147.1</v>
      </c>
      <c r="AR294" s="3" t="s">
        <v>58</v>
      </c>
      <c r="AS294" s="3" t="s">
        <v>60</v>
      </c>
      <c r="AT294" s="3">
        <v>23</v>
      </c>
    </row>
    <row r="295" s="3" customFormat="1" ht="15" customHeight="1" spans="1:46">
      <c r="A295" s="60">
        <v>270</v>
      </c>
      <c r="B295" s="61" t="s">
        <v>602</v>
      </c>
      <c r="C295" s="61" t="s">
        <v>600</v>
      </c>
      <c r="D295" s="61" t="s">
        <v>67</v>
      </c>
      <c r="E295" s="62">
        <v>39174</v>
      </c>
      <c r="F295" s="61" t="s">
        <v>601</v>
      </c>
      <c r="G295" s="61" t="s">
        <v>68</v>
      </c>
      <c r="H295" s="63">
        <v>269</v>
      </c>
      <c r="I295" s="64" t="s">
        <v>58</v>
      </c>
      <c r="J295" s="63" t="s">
        <v>56</v>
      </c>
      <c r="K295" s="65"/>
      <c r="L295" s="66"/>
      <c r="M295" s="67"/>
      <c r="N295" s="67"/>
      <c r="O295" s="67"/>
      <c r="P295" s="68"/>
      <c r="Q295" s="67"/>
      <c r="R295" s="67"/>
      <c r="S295" s="69"/>
      <c r="T295" s="69"/>
      <c r="U295" s="69"/>
      <c r="V295" s="69"/>
      <c r="W295" s="69"/>
      <c r="X295" s="69"/>
      <c r="Y295" s="69"/>
      <c r="Z295" s="69"/>
      <c r="AA295" s="69"/>
      <c r="AB295" s="70"/>
      <c r="AC295" s="69"/>
      <c r="AD295" s="69"/>
      <c r="AE295" s="71"/>
      <c r="AF295" s="69"/>
    </row>
    <row r="296" s="3" customFormat="1" ht="15" customHeight="1" spans="1:46">
      <c r="A296" s="60">
        <v>271</v>
      </c>
      <c r="B296" s="61" t="s">
        <v>261</v>
      </c>
      <c r="C296" s="61" t="s">
        <v>600</v>
      </c>
      <c r="D296" s="61" t="s">
        <v>67</v>
      </c>
      <c r="E296" s="62">
        <v>36832</v>
      </c>
      <c r="F296" s="61" t="s">
        <v>601</v>
      </c>
      <c r="G296" s="61" t="s">
        <v>68</v>
      </c>
      <c r="H296" s="63">
        <v>269</v>
      </c>
      <c r="I296" s="64" t="s">
        <v>58</v>
      </c>
      <c r="J296" s="63" t="s">
        <v>56</v>
      </c>
      <c r="K296" s="65"/>
      <c r="L296" s="66"/>
      <c r="M296" s="67"/>
      <c r="N296" s="67"/>
      <c r="O296" s="67"/>
      <c r="P296" s="68"/>
      <c r="Q296" s="67"/>
      <c r="R296" s="67"/>
      <c r="S296" s="69"/>
      <c r="T296" s="69"/>
      <c r="U296" s="69"/>
      <c r="V296" s="69"/>
      <c r="W296" s="69"/>
      <c r="X296" s="69"/>
      <c r="Y296" s="69"/>
      <c r="Z296" s="69"/>
      <c r="AA296" s="69"/>
      <c r="AB296" s="70"/>
      <c r="AC296" s="69"/>
      <c r="AD296" s="69"/>
      <c r="AE296" s="71"/>
      <c r="AF296" s="69"/>
    </row>
    <row r="297" s="3" customFormat="1" ht="15" customHeight="1" spans="1:46">
      <c r="A297" s="60">
        <v>272</v>
      </c>
      <c r="B297" s="61" t="s">
        <v>603</v>
      </c>
      <c r="C297" s="61" t="s">
        <v>600</v>
      </c>
      <c r="D297" s="61" t="s">
        <v>52</v>
      </c>
      <c r="E297" s="62">
        <v>24521</v>
      </c>
      <c r="F297" s="61" t="s">
        <v>601</v>
      </c>
      <c r="G297" s="61" t="s">
        <v>85</v>
      </c>
      <c r="H297" s="63">
        <v>269</v>
      </c>
      <c r="I297" s="64" t="s">
        <v>58</v>
      </c>
      <c r="J297" s="63" t="s">
        <v>56</v>
      </c>
      <c r="K297" s="65"/>
      <c r="L297" s="66"/>
      <c r="M297" s="67"/>
      <c r="N297" s="67"/>
      <c r="O297" s="67"/>
      <c r="P297" s="68"/>
      <c r="Q297" s="67"/>
      <c r="R297" s="67"/>
      <c r="S297" s="69"/>
      <c r="T297" s="69"/>
      <c r="U297" s="69"/>
      <c r="V297" s="69"/>
      <c r="W297" s="69"/>
      <c r="X297" s="69"/>
      <c r="Y297" s="69"/>
      <c r="Z297" s="69"/>
      <c r="AA297" s="69"/>
      <c r="AB297" s="70"/>
      <c r="AC297" s="69"/>
      <c r="AD297" s="69"/>
      <c r="AE297" s="71"/>
      <c r="AF297" s="69"/>
    </row>
    <row r="298" s="3" customFormat="1" ht="15" customHeight="1" spans="1:46">
      <c r="A298" s="60">
        <v>273</v>
      </c>
      <c r="B298" s="61" t="s">
        <v>604</v>
      </c>
      <c r="C298" s="61" t="s">
        <v>605</v>
      </c>
      <c r="D298" s="61" t="s">
        <v>52</v>
      </c>
      <c r="E298" s="62">
        <v>34622</v>
      </c>
      <c r="F298" s="61">
        <v>30307</v>
      </c>
      <c r="G298" s="61" t="s">
        <v>53</v>
      </c>
      <c r="H298" s="63" t="s">
        <v>54</v>
      </c>
      <c r="I298" s="64" t="s">
        <v>53</v>
      </c>
      <c r="J298" s="63" t="s">
        <v>56</v>
      </c>
      <c r="K298" s="65" t="s">
        <v>57</v>
      </c>
      <c r="L298" s="66">
        <v>1235.83</v>
      </c>
      <c r="M298" s="67" t="s">
        <v>53</v>
      </c>
      <c r="N298" s="67" t="s">
        <v>59</v>
      </c>
      <c r="O298" s="67">
        <v>42.39</v>
      </c>
      <c r="P298" s="68"/>
      <c r="Q298" s="67"/>
      <c r="R298" s="67"/>
      <c r="S298" s="69" t="s">
        <v>61</v>
      </c>
      <c r="T298" s="69">
        <v>150000</v>
      </c>
      <c r="U298" s="69"/>
      <c r="V298" s="69" t="s">
        <v>62</v>
      </c>
      <c r="W298" s="69">
        <v>4166.88</v>
      </c>
      <c r="X298" s="69"/>
      <c r="Y298" s="69" t="s">
        <v>63</v>
      </c>
      <c r="Z298" s="69">
        <v>865</v>
      </c>
      <c r="AA298" s="69"/>
      <c r="AB298" s="70"/>
      <c r="AC298" s="69" t="s">
        <v>201</v>
      </c>
      <c r="AD298" s="69"/>
      <c r="AE298" s="71">
        <v>75000</v>
      </c>
      <c r="AF298" s="69"/>
      <c r="AG298" s="3" t="str">
        <f t="shared" ref="AG298:AG303" si="10">B298&amp;C298</f>
        <v>AliciaMacler</v>
      </c>
      <c r="AH298" s="3" t="e">
        <f>VLOOKUP($AG298,[1]Sheet8!$B:$G,1,0)</f>
        <v>#N/A</v>
      </c>
      <c r="AI298" s="3" t="e">
        <f>VLOOKUP($AG298,[1]Sheet8!$B:$G,4,0)</f>
        <v>#N/A</v>
      </c>
      <c r="AJ298" s="3" t="e">
        <f>VLOOKUP($AG298,[1]Sheet8!$B:$G,5,0)</f>
        <v>#N/A</v>
      </c>
      <c r="AK298" s="3" t="e">
        <f>VLOOKUP($AG298,[1]Sheet8!$B:$G,6,0)</f>
        <v>#N/A</v>
      </c>
      <c r="AL298" s="3" t="s">
        <v>53</v>
      </c>
      <c r="AM298" s="3" t="s">
        <v>57</v>
      </c>
      <c r="AN298" s="3">
        <v>1235.83</v>
      </c>
      <c r="AO298" s="3" t="s">
        <v>53</v>
      </c>
      <c r="AP298" s="3" t="s">
        <v>59</v>
      </c>
      <c r="AQ298" s="3">
        <v>42.39</v>
      </c>
    </row>
    <row r="299" s="3" customFormat="1" ht="15" customHeight="1" spans="1:46">
      <c r="A299" s="60">
        <v>274</v>
      </c>
      <c r="B299" s="61" t="s">
        <v>606</v>
      </c>
      <c r="C299" s="61" t="s">
        <v>607</v>
      </c>
      <c r="D299" s="61" t="s">
        <v>67</v>
      </c>
      <c r="E299" s="62">
        <v>36532</v>
      </c>
      <c r="F299" s="61">
        <v>11372</v>
      </c>
      <c r="G299" s="61" t="s">
        <v>53</v>
      </c>
      <c r="H299" s="63" t="s">
        <v>54</v>
      </c>
      <c r="I299" s="64" t="s">
        <v>53</v>
      </c>
      <c r="J299" s="63" t="s">
        <v>56</v>
      </c>
      <c r="K299" s="65" t="s">
        <v>57</v>
      </c>
      <c r="L299" s="66">
        <v>1235.83</v>
      </c>
      <c r="M299" s="67"/>
      <c r="N299" s="67"/>
      <c r="O299" s="67"/>
      <c r="P299" s="68"/>
      <c r="Q299" s="67"/>
      <c r="R299" s="67"/>
      <c r="S299" s="69" t="s">
        <v>61</v>
      </c>
      <c r="T299" s="69">
        <v>129000</v>
      </c>
      <c r="U299" s="69"/>
      <c r="V299" s="69" t="s">
        <v>62</v>
      </c>
      <c r="W299" s="69">
        <v>3575.18</v>
      </c>
      <c r="X299" s="69"/>
      <c r="Y299" s="69" t="s">
        <v>63</v>
      </c>
      <c r="Z299" s="69">
        <v>743</v>
      </c>
      <c r="AA299" s="69"/>
      <c r="AB299" s="70"/>
      <c r="AC299" s="69" t="s">
        <v>138</v>
      </c>
      <c r="AD299" s="69"/>
      <c r="AE299" s="71">
        <v>64350</v>
      </c>
      <c r="AF299" s="69"/>
      <c r="AG299" s="3" t="str">
        <f t="shared" si="10"/>
        <v>IftakerMahamud</v>
      </c>
      <c r="AH299" s="3" t="e">
        <f>VLOOKUP($AG299,[1]Sheet8!$B:$G,1,0)</f>
        <v>#N/A</v>
      </c>
      <c r="AI299" s="3" t="e">
        <f>VLOOKUP($AG299,[1]Sheet8!$B:$G,4,0)</f>
        <v>#N/A</v>
      </c>
      <c r="AJ299" s="3" t="e">
        <f>VLOOKUP($AG299,[1]Sheet8!$B:$G,5,0)</f>
        <v>#N/A</v>
      </c>
      <c r="AK299" s="3" t="e">
        <f>VLOOKUP($AG299,[1]Sheet8!$B:$G,6,0)</f>
        <v>#N/A</v>
      </c>
      <c r="AL299" s="3" t="s">
        <v>53</v>
      </c>
      <c r="AM299" s="3" t="s">
        <v>57</v>
      </c>
      <c r="AN299" s="3">
        <v>1235.83</v>
      </c>
    </row>
    <row r="300" s="3" customFormat="1" ht="15" customHeight="1" spans="1:46">
      <c r="A300" s="60">
        <v>275</v>
      </c>
      <c r="B300" s="61" t="s">
        <v>608</v>
      </c>
      <c r="C300" s="61" t="s">
        <v>609</v>
      </c>
      <c r="D300" s="61" t="s">
        <v>52</v>
      </c>
      <c r="E300" s="62">
        <v>30419</v>
      </c>
      <c r="F300" s="61">
        <v>80501</v>
      </c>
      <c r="G300" s="61" t="s">
        <v>53</v>
      </c>
      <c r="H300" s="63" t="s">
        <v>54</v>
      </c>
      <c r="I300" s="64" t="s">
        <v>119</v>
      </c>
      <c r="J300" s="63" t="s">
        <v>56</v>
      </c>
      <c r="K300" s="65"/>
      <c r="L300" s="66"/>
      <c r="M300" s="67"/>
      <c r="N300" s="67"/>
      <c r="O300" s="67"/>
      <c r="P300" s="68"/>
      <c r="Q300" s="67"/>
      <c r="R300" s="67"/>
      <c r="S300" s="69" t="s">
        <v>61</v>
      </c>
      <c r="T300" s="69">
        <v>143000</v>
      </c>
      <c r="U300" s="69"/>
      <c r="V300" s="69" t="s">
        <v>62</v>
      </c>
      <c r="W300" s="69">
        <v>3961.03</v>
      </c>
      <c r="X300" s="69"/>
      <c r="Y300" s="69" t="s">
        <v>63</v>
      </c>
      <c r="Z300" s="69">
        <v>823</v>
      </c>
      <c r="AA300" s="69"/>
      <c r="AB300" s="70"/>
      <c r="AC300" s="69" t="s">
        <v>610</v>
      </c>
      <c r="AD300" s="69"/>
      <c r="AE300" s="71">
        <v>73434</v>
      </c>
      <c r="AF300" s="69"/>
      <c r="AG300" s="3" t="str">
        <f t="shared" si="10"/>
        <v>KarenMalcolm</v>
      </c>
      <c r="AH300" s="3" t="e">
        <f>VLOOKUP($AG300,[1]Sheet8!$B:$G,1,0)</f>
        <v>#N/A</v>
      </c>
      <c r="AI300" s="3" t="e">
        <f>VLOOKUP($AG300,[1]Sheet8!$B:$G,4,0)</f>
        <v>#N/A</v>
      </c>
      <c r="AJ300" s="3" t="e">
        <f>VLOOKUP($AG300,[1]Sheet8!$B:$G,5,0)</f>
        <v>#N/A</v>
      </c>
      <c r="AK300" s="3" t="e">
        <f>VLOOKUP($AG300,[1]Sheet8!$B:$G,6,0)</f>
        <v>#N/A</v>
      </c>
    </row>
    <row r="301" s="3" customFormat="1" ht="15" customHeight="1" spans="1:46">
      <c r="A301" s="60">
        <v>276</v>
      </c>
      <c r="B301" s="61" t="s">
        <v>126</v>
      </c>
      <c r="C301" s="61" t="s">
        <v>611</v>
      </c>
      <c r="D301" s="61" t="s">
        <v>67</v>
      </c>
      <c r="E301" s="62">
        <v>29681</v>
      </c>
      <c r="F301" s="61">
        <v>19103</v>
      </c>
      <c r="G301" s="61" t="s">
        <v>53</v>
      </c>
      <c r="H301" s="63" t="s">
        <v>54</v>
      </c>
      <c r="I301" s="64" t="s">
        <v>53</v>
      </c>
      <c r="J301" s="63" t="s">
        <v>56</v>
      </c>
      <c r="K301" s="65" t="s">
        <v>57</v>
      </c>
      <c r="L301" s="66">
        <v>1235.83</v>
      </c>
      <c r="M301" s="67" t="s">
        <v>53</v>
      </c>
      <c r="N301" s="67" t="s">
        <v>59</v>
      </c>
      <c r="O301" s="67">
        <v>42.39</v>
      </c>
      <c r="P301" s="68" t="s">
        <v>53</v>
      </c>
      <c r="Q301" s="67" t="s">
        <v>60</v>
      </c>
      <c r="R301" s="67">
        <v>8.22</v>
      </c>
      <c r="S301" s="69" t="s">
        <v>61</v>
      </c>
      <c r="T301" s="69">
        <v>250000</v>
      </c>
      <c r="U301" s="69"/>
      <c r="V301" s="69" t="s">
        <v>62</v>
      </c>
      <c r="W301" s="69">
        <v>9889.38</v>
      </c>
      <c r="X301" s="69"/>
      <c r="Y301" s="69" t="s">
        <v>63</v>
      </c>
      <c r="Z301" s="69">
        <v>2000</v>
      </c>
      <c r="AA301" s="69"/>
      <c r="AB301" s="70"/>
      <c r="AC301" s="69" t="s">
        <v>612</v>
      </c>
      <c r="AD301" s="69"/>
      <c r="AE301" s="71">
        <v>183340</v>
      </c>
      <c r="AF301" s="69"/>
      <c r="AG301" s="3" t="str">
        <f t="shared" si="10"/>
        <v>MichaelMalecki</v>
      </c>
      <c r="AH301" s="3" t="str">
        <f>VLOOKUP($AG301,[1]Sheet8!$B:$G,1,0)</f>
        <v>MICHAELMALECKI</v>
      </c>
      <c r="AI301" s="3" t="str">
        <f>VLOOKUP($AG301,[1]Sheet8!$B:$G,4,0)</f>
        <v>EE</v>
      </c>
      <c r="AJ301" s="3" t="str">
        <f>VLOOKUP($AG301,[1]Sheet8!$B:$G,5,0)</f>
        <v>L093530003</v>
      </c>
      <c r="AK301" s="3">
        <f>VLOOKUP($AG301,[1]Sheet8!$B:$G,6,0)</f>
        <v>8.22</v>
      </c>
      <c r="AL301" s="3" t="s">
        <v>53</v>
      </c>
      <c r="AM301" s="3" t="s">
        <v>57</v>
      </c>
      <c r="AN301" s="3">
        <v>1235.83</v>
      </c>
      <c r="AO301" s="3" t="s">
        <v>53</v>
      </c>
      <c r="AP301" s="3" t="s">
        <v>59</v>
      </c>
      <c r="AQ301" s="3">
        <v>42.39</v>
      </c>
      <c r="AR301" s="3" t="s">
        <v>53</v>
      </c>
      <c r="AS301" s="3" t="s">
        <v>60</v>
      </c>
      <c r="AT301" s="3">
        <v>8.22</v>
      </c>
    </row>
    <row r="302" s="3" customFormat="1" ht="15" customHeight="1" spans="1:46">
      <c r="A302" s="60">
        <v>277</v>
      </c>
      <c r="B302" s="61" t="s">
        <v>613</v>
      </c>
      <c r="C302" s="61" t="s">
        <v>614</v>
      </c>
      <c r="D302" s="61" t="s">
        <v>67</v>
      </c>
      <c r="E302" s="62">
        <v>36507</v>
      </c>
      <c r="F302" s="61">
        <v>11201</v>
      </c>
      <c r="G302" s="61" t="s">
        <v>53</v>
      </c>
      <c r="H302" s="63" t="s">
        <v>54</v>
      </c>
      <c r="I302" s="64" t="s">
        <v>53</v>
      </c>
      <c r="J302" s="63" t="s">
        <v>56</v>
      </c>
      <c r="K302" s="65" t="s">
        <v>57</v>
      </c>
      <c r="L302" s="66">
        <v>1235.83</v>
      </c>
      <c r="M302" s="67" t="s">
        <v>53</v>
      </c>
      <c r="N302" s="67" t="s">
        <v>59</v>
      </c>
      <c r="O302" s="67">
        <v>42.39</v>
      </c>
      <c r="P302" s="68" t="s">
        <v>53</v>
      </c>
      <c r="Q302" s="67" t="s">
        <v>60</v>
      </c>
      <c r="R302" s="67">
        <v>8.22</v>
      </c>
      <c r="S302" s="69" t="s">
        <v>61</v>
      </c>
      <c r="T302" s="69">
        <v>173000</v>
      </c>
      <c r="U302" s="69"/>
      <c r="V302" s="69" t="s">
        <v>62</v>
      </c>
      <c r="W302" s="69">
        <v>4784.24</v>
      </c>
      <c r="X302" s="69"/>
      <c r="Y302" s="69" t="s">
        <v>63</v>
      </c>
      <c r="Z302" s="69">
        <v>994</v>
      </c>
      <c r="AA302" s="69"/>
      <c r="AB302" s="70"/>
      <c r="AC302" s="69" t="s">
        <v>615</v>
      </c>
      <c r="AD302" s="69"/>
      <c r="AE302" s="71">
        <v>88695</v>
      </c>
      <c r="AF302" s="69"/>
      <c r="AG302" s="3" t="str">
        <f t="shared" si="10"/>
        <v>YonatanMargalit</v>
      </c>
      <c r="AH302" s="3" t="str">
        <f>VLOOKUP($AG302,[1]Sheet8!$B:$G,1,0)</f>
        <v>YONATANMargalit</v>
      </c>
      <c r="AI302" s="3" t="str">
        <f>VLOOKUP($AG302,[1]Sheet8!$B:$G,4,0)</f>
        <v>EE</v>
      </c>
      <c r="AJ302" s="3" t="str">
        <f>VLOOKUP($AG302,[1]Sheet8!$B:$G,5,0)</f>
        <v>L093530003</v>
      </c>
      <c r="AK302" s="3">
        <f>VLOOKUP($AG302,[1]Sheet8!$B:$G,6,0)</f>
        <v>8.22</v>
      </c>
      <c r="AL302" s="3" t="s">
        <v>53</v>
      </c>
      <c r="AM302" s="3" t="s">
        <v>57</v>
      </c>
      <c r="AN302" s="3">
        <v>1235.83</v>
      </c>
      <c r="AO302" s="3" t="s">
        <v>53</v>
      </c>
      <c r="AP302" s="3" t="s">
        <v>59</v>
      </c>
      <c r="AQ302" s="3">
        <v>42.39</v>
      </c>
      <c r="AR302" s="3" t="s">
        <v>53</v>
      </c>
      <c r="AS302" s="3" t="s">
        <v>60</v>
      </c>
      <c r="AT302" s="3">
        <v>8.22</v>
      </c>
    </row>
    <row r="303" s="3" customFormat="1" ht="15" customHeight="1" spans="1:46">
      <c r="A303" s="60">
        <v>278</v>
      </c>
      <c r="B303" s="61" t="s">
        <v>616</v>
      </c>
      <c r="C303" s="61" t="s">
        <v>617</v>
      </c>
      <c r="D303" s="61" t="s">
        <v>67</v>
      </c>
      <c r="E303" s="62">
        <v>26954</v>
      </c>
      <c r="F303" s="61" t="s">
        <v>618</v>
      </c>
      <c r="G303" s="61" t="s">
        <v>53</v>
      </c>
      <c r="H303" s="63" t="s">
        <v>54</v>
      </c>
      <c r="I303" s="64" t="s">
        <v>58</v>
      </c>
      <c r="J303" s="63" t="s">
        <v>56</v>
      </c>
      <c r="K303" s="65" t="s">
        <v>57</v>
      </c>
      <c r="L303" s="66">
        <v>3831.06</v>
      </c>
      <c r="M303" s="67" t="s">
        <v>58</v>
      </c>
      <c r="N303" s="67" t="s">
        <v>59</v>
      </c>
      <c r="O303" s="67">
        <v>147.1</v>
      </c>
      <c r="P303" s="68" t="s">
        <v>58</v>
      </c>
      <c r="Q303" s="67" t="s">
        <v>60</v>
      </c>
      <c r="R303" s="67">
        <v>23</v>
      </c>
      <c r="S303" s="69" t="s">
        <v>61</v>
      </c>
      <c r="T303" s="69">
        <v>250000</v>
      </c>
      <c r="U303" s="69"/>
      <c r="V303" s="69" t="s">
        <v>62</v>
      </c>
      <c r="W303" s="69">
        <v>10000</v>
      </c>
      <c r="X303" s="69"/>
      <c r="Y303" s="69" t="s">
        <v>63</v>
      </c>
      <c r="Z303" s="69">
        <v>2000</v>
      </c>
      <c r="AA303" s="69"/>
      <c r="AB303" s="70"/>
      <c r="AC303" s="69" t="s">
        <v>619</v>
      </c>
      <c r="AD303" s="69"/>
      <c r="AE303" s="71">
        <v>335780</v>
      </c>
      <c r="AF303" s="69"/>
      <c r="AG303" s="3" t="str">
        <f t="shared" si="10"/>
        <v>RayMartin</v>
      </c>
      <c r="AH303" s="3" t="str">
        <f>VLOOKUP($AG303,[1]Sheet8!$B:$G,1,0)</f>
        <v>RAYMARTIN</v>
      </c>
      <c r="AI303" s="3" t="str">
        <f>VLOOKUP($AG303,[1]Sheet8!$B:$G,4,0)</f>
        <v>FAM</v>
      </c>
      <c r="AJ303" s="3" t="str">
        <f>VLOOKUP($AG303,[1]Sheet8!$B:$G,5,0)</f>
        <v>L093530003</v>
      </c>
      <c r="AK303" s="3">
        <f>VLOOKUP($AG303,[1]Sheet8!$B:$G,6,0)</f>
        <v>23</v>
      </c>
      <c r="AL303" s="3" t="s">
        <v>58</v>
      </c>
      <c r="AM303" s="3" t="s">
        <v>57</v>
      </c>
      <c r="AN303" s="3">
        <v>3831.06</v>
      </c>
      <c r="AO303" s="3" t="s">
        <v>58</v>
      </c>
      <c r="AP303" s="3" t="s">
        <v>59</v>
      </c>
      <c r="AQ303" s="3">
        <v>147.1</v>
      </c>
      <c r="AR303" s="3" t="s">
        <v>58</v>
      </c>
      <c r="AS303" s="3" t="s">
        <v>60</v>
      </c>
      <c r="AT303" s="3">
        <v>23</v>
      </c>
    </row>
    <row r="304" s="3" customFormat="1" ht="15" customHeight="1" spans="1:46">
      <c r="A304" s="60">
        <v>279</v>
      </c>
      <c r="B304" s="61" t="s">
        <v>620</v>
      </c>
      <c r="C304" s="61" t="s">
        <v>617</v>
      </c>
      <c r="D304" s="61" t="s">
        <v>52</v>
      </c>
      <c r="E304" s="62">
        <v>42420</v>
      </c>
      <c r="F304" s="61" t="s">
        <v>618</v>
      </c>
      <c r="G304" s="61" t="s">
        <v>68</v>
      </c>
      <c r="H304" s="63">
        <v>278</v>
      </c>
      <c r="I304" s="64" t="s">
        <v>58</v>
      </c>
      <c r="J304" s="63" t="s">
        <v>56</v>
      </c>
      <c r="K304" s="65"/>
      <c r="L304" s="66"/>
      <c r="M304" s="67"/>
      <c r="N304" s="67"/>
      <c r="O304" s="67"/>
      <c r="P304" s="68"/>
      <c r="Q304" s="67"/>
      <c r="R304" s="67"/>
      <c r="S304" s="69"/>
      <c r="T304" s="69"/>
      <c r="U304" s="69"/>
      <c r="V304" s="69"/>
      <c r="W304" s="69"/>
      <c r="X304" s="69"/>
      <c r="Y304" s="69"/>
      <c r="Z304" s="69"/>
      <c r="AA304" s="69"/>
      <c r="AB304" s="70"/>
      <c r="AC304" s="69"/>
      <c r="AD304" s="69"/>
      <c r="AE304" s="71"/>
      <c r="AF304" s="69"/>
    </row>
    <row r="305" s="3" customFormat="1" ht="15" customHeight="1" spans="1:46">
      <c r="A305" s="60">
        <v>280</v>
      </c>
      <c r="B305" s="61" t="s">
        <v>621</v>
      </c>
      <c r="C305" s="61" t="s">
        <v>622</v>
      </c>
      <c r="D305" s="61" t="s">
        <v>52</v>
      </c>
      <c r="E305" s="62">
        <v>31288</v>
      </c>
      <c r="F305" s="61" t="s">
        <v>618</v>
      </c>
      <c r="G305" s="61" t="s">
        <v>85</v>
      </c>
      <c r="H305" s="63">
        <v>278</v>
      </c>
      <c r="I305" s="64" t="s">
        <v>58</v>
      </c>
      <c r="J305" s="63" t="s">
        <v>56</v>
      </c>
      <c r="K305" s="65"/>
      <c r="L305" s="66"/>
      <c r="M305" s="67"/>
      <c r="N305" s="67"/>
      <c r="O305" s="67"/>
      <c r="P305" s="68"/>
      <c r="Q305" s="67"/>
      <c r="R305" s="67"/>
      <c r="S305" s="69"/>
      <c r="T305" s="69"/>
      <c r="U305" s="69"/>
      <c r="V305" s="69"/>
      <c r="W305" s="69"/>
      <c r="X305" s="69"/>
      <c r="Y305" s="69"/>
      <c r="Z305" s="69"/>
      <c r="AA305" s="69"/>
      <c r="AB305" s="70"/>
      <c r="AC305" s="69"/>
      <c r="AD305" s="69"/>
      <c r="AE305" s="71"/>
      <c r="AF305" s="69"/>
    </row>
    <row r="306" s="3" customFormat="1" ht="15" customHeight="1" spans="1:46">
      <c r="A306" s="60">
        <v>281</v>
      </c>
      <c r="B306" s="61" t="s">
        <v>623</v>
      </c>
      <c r="C306" s="61" t="s">
        <v>624</v>
      </c>
      <c r="D306" s="61" t="s">
        <v>52</v>
      </c>
      <c r="E306" s="62">
        <v>31485</v>
      </c>
      <c r="F306" s="61">
        <v>95050</v>
      </c>
      <c r="G306" s="61" t="s">
        <v>53</v>
      </c>
      <c r="H306" s="63" t="s">
        <v>54</v>
      </c>
      <c r="I306" s="64" t="s">
        <v>55</v>
      </c>
      <c r="J306" s="63" t="s">
        <v>56</v>
      </c>
      <c r="K306" s="65" t="s">
        <v>57</v>
      </c>
      <c r="L306" s="66">
        <v>2224.48</v>
      </c>
      <c r="M306" s="67" t="s">
        <v>58</v>
      </c>
      <c r="N306" s="67" t="s">
        <v>59</v>
      </c>
      <c r="O306" s="67">
        <v>147.1</v>
      </c>
      <c r="P306" s="68" t="s">
        <v>58</v>
      </c>
      <c r="Q306" s="67" t="s">
        <v>60</v>
      </c>
      <c r="R306" s="67">
        <v>23</v>
      </c>
      <c r="S306" s="69" t="s">
        <v>61</v>
      </c>
      <c r="T306" s="69">
        <v>250000</v>
      </c>
      <c r="U306" s="69"/>
      <c r="V306" s="69" t="s">
        <v>62</v>
      </c>
      <c r="W306" s="69">
        <v>7689.05</v>
      </c>
      <c r="X306" s="69"/>
      <c r="Y306" s="69" t="s">
        <v>63</v>
      </c>
      <c r="Z306" s="69">
        <v>1597</v>
      </c>
      <c r="AA306" s="69"/>
      <c r="AB306" s="70"/>
      <c r="AC306" s="69" t="s">
        <v>625</v>
      </c>
      <c r="AD306" s="69"/>
      <c r="AE306" s="71">
        <v>143932</v>
      </c>
      <c r="AF306" s="69"/>
      <c r="AG306" s="3" t="str">
        <f>B306&amp;C306</f>
        <v>JulissaMartinez</v>
      </c>
      <c r="AH306" s="3" t="str">
        <f>VLOOKUP($AG306,[1]Sheet8!$B:$G,1,0)</f>
        <v>JULISSAMARTINEZ</v>
      </c>
      <c r="AI306" s="3" t="str">
        <f>VLOOKUP($AG306,[1]Sheet8!$B:$G,4,0)</f>
        <v>FAM</v>
      </c>
      <c r="AJ306" s="3" t="str">
        <f>VLOOKUP($AG306,[1]Sheet8!$B:$G,5,0)</f>
        <v>L093530003</v>
      </c>
      <c r="AK306" s="3">
        <f>VLOOKUP($AG306,[1]Sheet8!$B:$G,6,0)</f>
        <v>23</v>
      </c>
      <c r="AL306" s="3" t="s">
        <v>55</v>
      </c>
      <c r="AM306" s="3" t="s">
        <v>57</v>
      </c>
      <c r="AN306" s="3">
        <v>2224.48</v>
      </c>
      <c r="AO306" s="3" t="s">
        <v>58</v>
      </c>
      <c r="AP306" s="3" t="s">
        <v>59</v>
      </c>
      <c r="AQ306" s="3">
        <v>147.1</v>
      </c>
      <c r="AR306" s="3" t="s">
        <v>58</v>
      </c>
      <c r="AS306" s="3" t="s">
        <v>60</v>
      </c>
      <c r="AT306" s="3">
        <v>23</v>
      </c>
    </row>
    <row r="307" s="3" customFormat="1" ht="15" customHeight="1" spans="1:46">
      <c r="A307" s="60">
        <v>282</v>
      </c>
      <c r="B307" s="61" t="s">
        <v>626</v>
      </c>
      <c r="C307" s="61" t="s">
        <v>627</v>
      </c>
      <c r="D307" s="61" t="s">
        <v>52</v>
      </c>
      <c r="E307" s="62">
        <v>45402</v>
      </c>
      <c r="F307" s="61">
        <v>95050</v>
      </c>
      <c r="G307" s="61" t="s">
        <v>68</v>
      </c>
      <c r="H307" s="63">
        <v>281</v>
      </c>
      <c r="I307" s="64" t="s">
        <v>55</v>
      </c>
      <c r="J307" s="63" t="s">
        <v>56</v>
      </c>
      <c r="K307" s="65"/>
      <c r="L307" s="66"/>
      <c r="M307" s="67"/>
      <c r="N307" s="67"/>
      <c r="O307" s="67"/>
      <c r="P307" s="68"/>
      <c r="Q307" s="67"/>
      <c r="R307" s="67"/>
      <c r="S307" s="69"/>
      <c r="T307" s="69"/>
      <c r="U307" s="69"/>
      <c r="V307" s="69"/>
      <c r="W307" s="69"/>
      <c r="X307" s="69"/>
      <c r="Y307" s="69"/>
      <c r="Z307" s="69"/>
      <c r="AA307" s="69"/>
      <c r="AB307" s="70"/>
      <c r="AC307" s="69"/>
      <c r="AD307" s="69"/>
      <c r="AE307" s="71"/>
      <c r="AF307" s="69"/>
    </row>
    <row r="308" s="3" customFormat="1" ht="15" customHeight="1" spans="1:46">
      <c r="A308" s="60">
        <v>283</v>
      </c>
      <c r="B308" s="61" t="s">
        <v>628</v>
      </c>
      <c r="C308" s="61" t="s">
        <v>627</v>
      </c>
      <c r="D308" s="61" t="s">
        <v>52</v>
      </c>
      <c r="E308" s="62">
        <v>44351</v>
      </c>
      <c r="F308" s="61">
        <v>95050</v>
      </c>
      <c r="G308" s="61" t="s">
        <v>68</v>
      </c>
      <c r="H308" s="63">
        <v>281</v>
      </c>
      <c r="I308" s="64" t="s">
        <v>55</v>
      </c>
      <c r="J308" s="63" t="s">
        <v>56</v>
      </c>
      <c r="K308" s="65"/>
      <c r="L308" s="66"/>
      <c r="M308" s="67"/>
      <c r="N308" s="67"/>
      <c r="O308" s="67"/>
      <c r="P308" s="68"/>
      <c r="Q308" s="67"/>
      <c r="R308" s="67"/>
      <c r="S308" s="69"/>
      <c r="T308" s="69"/>
      <c r="U308" s="69"/>
      <c r="V308" s="69"/>
      <c r="W308" s="69"/>
      <c r="X308" s="69"/>
      <c r="Y308" s="69"/>
      <c r="Z308" s="69"/>
      <c r="AA308" s="69"/>
      <c r="AB308" s="70"/>
      <c r="AC308" s="69"/>
      <c r="AD308" s="69"/>
      <c r="AE308" s="71"/>
      <c r="AF308" s="69"/>
    </row>
    <row r="309" s="3" customFormat="1" ht="15" customHeight="1" spans="1:46">
      <c r="A309" s="60">
        <v>284</v>
      </c>
      <c r="B309" s="61" t="s">
        <v>629</v>
      </c>
      <c r="C309" s="61" t="s">
        <v>627</v>
      </c>
      <c r="D309" s="61" t="s">
        <v>67</v>
      </c>
      <c r="E309" s="62">
        <v>43494</v>
      </c>
      <c r="F309" s="61">
        <v>95050</v>
      </c>
      <c r="G309" s="61" t="s">
        <v>68</v>
      </c>
      <c r="H309" s="63">
        <v>281</v>
      </c>
      <c r="I309" s="64" t="s">
        <v>55</v>
      </c>
      <c r="J309" s="63" t="s">
        <v>56</v>
      </c>
      <c r="K309" s="65"/>
      <c r="L309" s="66"/>
      <c r="M309" s="67"/>
      <c r="N309" s="67"/>
      <c r="O309" s="67"/>
      <c r="P309" s="68"/>
      <c r="Q309" s="67"/>
      <c r="R309" s="67"/>
      <c r="S309" s="69"/>
      <c r="T309" s="69"/>
      <c r="U309" s="69"/>
      <c r="V309" s="69"/>
      <c r="W309" s="69"/>
      <c r="X309" s="69"/>
      <c r="Y309" s="69"/>
      <c r="Z309" s="69"/>
      <c r="AA309" s="69"/>
      <c r="AB309" s="70"/>
      <c r="AC309" s="69"/>
      <c r="AD309" s="69"/>
      <c r="AE309" s="71"/>
      <c r="AF309" s="69"/>
    </row>
    <row r="310" s="3" customFormat="1" ht="15" customHeight="1" spans="1:46">
      <c r="A310" s="60">
        <v>285</v>
      </c>
      <c r="B310" s="61" t="s">
        <v>249</v>
      </c>
      <c r="C310" s="61" t="s">
        <v>624</v>
      </c>
      <c r="D310" s="61" t="s">
        <v>52</v>
      </c>
      <c r="E310" s="62">
        <v>32666</v>
      </c>
      <c r="F310" s="61">
        <v>80634</v>
      </c>
      <c r="G310" s="61" t="s">
        <v>53</v>
      </c>
      <c r="H310" s="63" t="s">
        <v>54</v>
      </c>
      <c r="I310" s="64" t="s">
        <v>119</v>
      </c>
      <c r="J310" s="63" t="s">
        <v>56</v>
      </c>
      <c r="K310" s="65"/>
      <c r="L310" s="66"/>
      <c r="M310" s="67"/>
      <c r="N310" s="67"/>
      <c r="O310" s="67"/>
      <c r="P310" s="68"/>
      <c r="Q310" s="67"/>
      <c r="R310" s="67"/>
      <c r="S310" s="69" t="s">
        <v>61</v>
      </c>
      <c r="T310" s="69">
        <v>164000</v>
      </c>
      <c r="U310" s="69"/>
      <c r="V310" s="69" t="s">
        <v>62</v>
      </c>
      <c r="W310" s="69">
        <v>4540.23</v>
      </c>
      <c r="X310" s="69"/>
      <c r="Y310" s="69" t="s">
        <v>63</v>
      </c>
      <c r="Z310" s="69">
        <v>943</v>
      </c>
      <c r="AA310" s="69"/>
      <c r="AB310" s="70"/>
      <c r="AC310" s="69" t="s">
        <v>630</v>
      </c>
      <c r="AD310" s="69"/>
      <c r="AE310" s="71">
        <v>84172</v>
      </c>
      <c r="AF310" s="69"/>
      <c r="AG310" s="3" t="str">
        <f t="shared" ref="AG310:AG315" si="11">B310&amp;C310</f>
        <v>LauraMartinez</v>
      </c>
      <c r="AH310" s="3" t="e">
        <f>VLOOKUP($AG310,[1]Sheet8!$B:$G,1,0)</f>
        <v>#N/A</v>
      </c>
      <c r="AI310" s="3" t="e">
        <f>VLOOKUP($AG310,[1]Sheet8!$B:$G,4,0)</f>
        <v>#N/A</v>
      </c>
      <c r="AJ310" s="3" t="e">
        <f>VLOOKUP($AG310,[1]Sheet8!$B:$G,5,0)</f>
        <v>#N/A</v>
      </c>
      <c r="AK310" s="3" t="e">
        <f>VLOOKUP($AG310,[1]Sheet8!$B:$G,6,0)</f>
        <v>#N/A</v>
      </c>
    </row>
    <row r="311" s="3" customFormat="1" ht="15" customHeight="1" spans="1:46">
      <c r="A311" s="60">
        <v>286</v>
      </c>
      <c r="B311" s="61" t="s">
        <v>631</v>
      </c>
      <c r="C311" s="61" t="s">
        <v>632</v>
      </c>
      <c r="D311" s="61" t="s">
        <v>52</v>
      </c>
      <c r="E311" s="62">
        <v>34284</v>
      </c>
      <c r="F311" s="61">
        <v>94114</v>
      </c>
      <c r="G311" s="61" t="s">
        <v>53</v>
      </c>
      <c r="H311" s="63" t="s">
        <v>54</v>
      </c>
      <c r="I311" s="64" t="s">
        <v>53</v>
      </c>
      <c r="J311" s="63" t="s">
        <v>56</v>
      </c>
      <c r="K311" s="65" t="s">
        <v>57</v>
      </c>
      <c r="L311" s="66">
        <v>1235.83</v>
      </c>
      <c r="M311" s="67" t="s">
        <v>53</v>
      </c>
      <c r="N311" s="67" t="s">
        <v>59</v>
      </c>
      <c r="O311" s="67">
        <v>42.39</v>
      </c>
      <c r="P311" s="68" t="s">
        <v>53</v>
      </c>
      <c r="Q311" s="67" t="s">
        <v>60</v>
      </c>
      <c r="R311" s="67">
        <v>8.22</v>
      </c>
      <c r="S311" s="69" t="s">
        <v>61</v>
      </c>
      <c r="T311" s="69">
        <v>250000</v>
      </c>
      <c r="U311" s="69"/>
      <c r="V311" s="69" t="s">
        <v>62</v>
      </c>
      <c r="W311" s="69">
        <v>8963.06</v>
      </c>
      <c r="X311" s="69"/>
      <c r="Y311" s="69" t="s">
        <v>63</v>
      </c>
      <c r="Z311" s="69">
        <v>1861</v>
      </c>
      <c r="AA311" s="69"/>
      <c r="AB311" s="70"/>
      <c r="AC311" s="69" t="s">
        <v>95</v>
      </c>
      <c r="AD311" s="69"/>
      <c r="AE311" s="71">
        <v>167700</v>
      </c>
      <c r="AF311" s="69"/>
      <c r="AG311" s="3" t="str">
        <f t="shared" si="11"/>
        <v>MonaMatsumoto Ryan</v>
      </c>
      <c r="AH311" s="3" t="str">
        <f>VLOOKUP($AG311,[1]Sheet8!$B:$G,1,0)</f>
        <v>MONAMATSUMOTO RYAN</v>
      </c>
      <c r="AI311" s="3" t="str">
        <f>VLOOKUP($AG311,[1]Sheet8!$B:$G,4,0)</f>
        <v>EE</v>
      </c>
      <c r="AJ311" s="3" t="str">
        <f>VLOOKUP($AG311,[1]Sheet8!$B:$G,5,0)</f>
        <v>L093530003</v>
      </c>
      <c r="AK311" s="3">
        <f>VLOOKUP($AG311,[1]Sheet8!$B:$G,6,0)</f>
        <v>8.22</v>
      </c>
      <c r="AL311" s="3" t="s">
        <v>53</v>
      </c>
      <c r="AM311" s="3" t="s">
        <v>57</v>
      </c>
      <c r="AN311" s="3">
        <v>1235.83</v>
      </c>
      <c r="AO311" s="3" t="s">
        <v>53</v>
      </c>
      <c r="AP311" s="3" t="s">
        <v>59</v>
      </c>
      <c r="AQ311" s="3">
        <v>42.39</v>
      </c>
      <c r="AR311" s="3" t="s">
        <v>53</v>
      </c>
      <c r="AS311" s="3" t="s">
        <v>60</v>
      </c>
      <c r="AT311" s="3">
        <v>8.22</v>
      </c>
    </row>
    <row r="312" s="3" customFormat="1" ht="15" customHeight="1" spans="1:46">
      <c r="A312" s="60">
        <v>287</v>
      </c>
      <c r="B312" s="61" t="s">
        <v>188</v>
      </c>
      <c r="C312" s="61" t="s">
        <v>633</v>
      </c>
      <c r="D312" s="61" t="s">
        <v>67</v>
      </c>
      <c r="E312" s="62">
        <v>32383</v>
      </c>
      <c r="F312" s="61" t="s">
        <v>634</v>
      </c>
      <c r="G312" s="61" t="s">
        <v>53</v>
      </c>
      <c r="H312" s="63" t="s">
        <v>54</v>
      </c>
      <c r="I312" s="64" t="s">
        <v>53</v>
      </c>
      <c r="J312" s="63" t="s">
        <v>56</v>
      </c>
      <c r="K312" s="65" t="s">
        <v>57</v>
      </c>
      <c r="L312" s="66">
        <v>1235.83</v>
      </c>
      <c r="M312" s="67" t="s">
        <v>53</v>
      </c>
      <c r="N312" s="67" t="s">
        <v>59</v>
      </c>
      <c r="O312" s="67">
        <v>42.39</v>
      </c>
      <c r="P312" s="68" t="s">
        <v>53</v>
      </c>
      <c r="Q312" s="67" t="s">
        <v>60</v>
      </c>
      <c r="R312" s="67">
        <v>8.22</v>
      </c>
      <c r="S312" s="69" t="s">
        <v>61</v>
      </c>
      <c r="T312" s="69">
        <v>180000</v>
      </c>
      <c r="U312" s="69"/>
      <c r="V312" s="69" t="s">
        <v>62</v>
      </c>
      <c r="W312" s="69">
        <v>5000.25</v>
      </c>
      <c r="X312" s="69"/>
      <c r="Y312" s="69" t="s">
        <v>63</v>
      </c>
      <c r="Z312" s="69">
        <v>1038</v>
      </c>
      <c r="AA312" s="69"/>
      <c r="AB312" s="70"/>
      <c r="AC312" s="69" t="s">
        <v>213</v>
      </c>
      <c r="AD312" s="69"/>
      <c r="AE312" s="71">
        <v>92250</v>
      </c>
      <c r="AF312" s="69"/>
      <c r="AG312" s="3" t="str">
        <f t="shared" si="11"/>
        <v>RobertMay</v>
      </c>
      <c r="AH312" s="3" t="str">
        <f>VLOOKUP($AG312,[1]Sheet8!$B:$G,1,0)</f>
        <v>ROBERTMAY</v>
      </c>
      <c r="AI312" s="3" t="str">
        <f>VLOOKUP($AG312,[1]Sheet8!$B:$G,4,0)</f>
        <v>EE</v>
      </c>
      <c r="AJ312" s="3" t="str">
        <f>VLOOKUP($AG312,[1]Sheet8!$B:$G,5,0)</f>
        <v>L093530003</v>
      </c>
      <c r="AK312" s="3">
        <f>VLOOKUP($AG312,[1]Sheet8!$B:$G,6,0)</f>
        <v>8.22</v>
      </c>
      <c r="AL312" s="3" t="s">
        <v>53</v>
      </c>
      <c r="AM312" s="3" t="s">
        <v>57</v>
      </c>
      <c r="AN312" s="3">
        <v>1235.83</v>
      </c>
      <c r="AO312" s="3" t="s">
        <v>53</v>
      </c>
      <c r="AP312" s="3" t="s">
        <v>59</v>
      </c>
      <c r="AQ312" s="3">
        <v>42.39</v>
      </c>
      <c r="AR312" s="3" t="s">
        <v>53</v>
      </c>
      <c r="AS312" s="3" t="s">
        <v>60</v>
      </c>
      <c r="AT312" s="3">
        <v>8.22</v>
      </c>
    </row>
    <row r="313" s="3" customFormat="1" ht="15" customHeight="1" spans="1:46">
      <c r="A313" s="60">
        <v>288</v>
      </c>
      <c r="B313" s="61" t="s">
        <v>635</v>
      </c>
      <c r="C313" s="61" t="s">
        <v>636</v>
      </c>
      <c r="D313" s="61" t="s">
        <v>52</v>
      </c>
      <c r="E313" s="62">
        <v>37321</v>
      </c>
      <c r="F313" s="61">
        <v>94404</v>
      </c>
      <c r="G313" s="61" t="s">
        <v>53</v>
      </c>
      <c r="H313" s="63" t="s">
        <v>54</v>
      </c>
      <c r="I313" s="64" t="s">
        <v>119</v>
      </c>
      <c r="J313" s="63" t="s">
        <v>56</v>
      </c>
      <c r="K313" s="65"/>
      <c r="L313" s="66"/>
      <c r="M313" s="67"/>
      <c r="N313" s="67"/>
      <c r="O313" s="67"/>
      <c r="P313" s="68"/>
      <c r="Q313" s="67"/>
      <c r="R313" s="67"/>
      <c r="S313" s="69" t="s">
        <v>61</v>
      </c>
      <c r="T313" s="69">
        <v>150000</v>
      </c>
      <c r="U313" s="69"/>
      <c r="V313" s="69" t="s">
        <v>62</v>
      </c>
      <c r="W313" s="69">
        <v>4166.88</v>
      </c>
      <c r="X313" s="69"/>
      <c r="Y313" s="69" t="s">
        <v>63</v>
      </c>
      <c r="Z313" s="69">
        <v>865</v>
      </c>
      <c r="AA313" s="69"/>
      <c r="AB313" s="70"/>
      <c r="AC313" s="69" t="s">
        <v>201</v>
      </c>
      <c r="AD313" s="69"/>
      <c r="AE313" s="71">
        <v>75000</v>
      </c>
      <c r="AF313" s="69"/>
      <c r="AG313" s="3" t="str">
        <f t="shared" si="11"/>
        <v>KemptonMcCarty</v>
      </c>
      <c r="AH313" s="3" t="e">
        <f>VLOOKUP($AG313,[1]Sheet8!$B:$G,1,0)</f>
        <v>#N/A</v>
      </c>
      <c r="AI313" s="3" t="e">
        <f>VLOOKUP($AG313,[1]Sheet8!$B:$G,4,0)</f>
        <v>#N/A</v>
      </c>
      <c r="AJ313" s="3" t="e">
        <f>VLOOKUP($AG313,[1]Sheet8!$B:$G,5,0)</f>
        <v>#N/A</v>
      </c>
      <c r="AK313" s="3" t="e">
        <f>VLOOKUP($AG313,[1]Sheet8!$B:$G,6,0)</f>
        <v>#N/A</v>
      </c>
    </row>
    <row r="314" s="3" customFormat="1" ht="15" customHeight="1" spans="1:46">
      <c r="A314" s="60">
        <v>289</v>
      </c>
      <c r="B314" s="61" t="s">
        <v>486</v>
      </c>
      <c r="C314" s="61" t="s">
        <v>637</v>
      </c>
      <c r="D314" s="61" t="s">
        <v>67</v>
      </c>
      <c r="E314" s="62">
        <v>34745</v>
      </c>
      <c r="F314" s="61">
        <v>10016</v>
      </c>
      <c r="G314" s="61" t="s">
        <v>53</v>
      </c>
      <c r="H314" s="63" t="s">
        <v>54</v>
      </c>
      <c r="I314" s="64" t="s">
        <v>119</v>
      </c>
      <c r="J314" s="63" t="s">
        <v>56</v>
      </c>
      <c r="K314" s="65"/>
      <c r="L314" s="66"/>
      <c r="M314" s="67"/>
      <c r="N314" s="67"/>
      <c r="O314" s="67"/>
      <c r="P314" s="68"/>
      <c r="Q314" s="67"/>
      <c r="R314" s="67"/>
      <c r="S314" s="69" t="s">
        <v>61</v>
      </c>
      <c r="T314" s="69">
        <v>164000</v>
      </c>
      <c r="U314" s="69"/>
      <c r="V314" s="69" t="s">
        <v>62</v>
      </c>
      <c r="W314" s="69">
        <v>4551.51</v>
      </c>
      <c r="X314" s="69"/>
      <c r="Y314" s="69" t="s">
        <v>63</v>
      </c>
      <c r="Z314" s="69">
        <v>945</v>
      </c>
      <c r="AA314" s="69"/>
      <c r="AB314" s="70"/>
      <c r="AC314" s="69" t="s">
        <v>638</v>
      </c>
      <c r="AD314" s="69"/>
      <c r="AE314" s="71">
        <v>84381</v>
      </c>
      <c r="AF314" s="69"/>
      <c r="AG314" s="3" t="str">
        <f t="shared" si="11"/>
        <v>WilliamMcConnell</v>
      </c>
      <c r="AH314" s="3" t="e">
        <f>VLOOKUP($AG314,[1]Sheet8!$B:$G,1,0)</f>
        <v>#N/A</v>
      </c>
      <c r="AI314" s="3" t="e">
        <f>VLOOKUP($AG314,[1]Sheet8!$B:$G,4,0)</f>
        <v>#N/A</v>
      </c>
      <c r="AJ314" s="3" t="e">
        <f>VLOOKUP($AG314,[1]Sheet8!$B:$G,5,0)</f>
        <v>#N/A</v>
      </c>
      <c r="AK314" s="3" t="e">
        <f>VLOOKUP($AG314,[1]Sheet8!$B:$G,6,0)</f>
        <v>#N/A</v>
      </c>
    </row>
    <row r="315" s="3" customFormat="1" ht="15" customHeight="1" spans="1:46">
      <c r="A315" s="60">
        <v>290</v>
      </c>
      <c r="B315" s="61" t="s">
        <v>594</v>
      </c>
      <c r="C315" s="61" t="s">
        <v>639</v>
      </c>
      <c r="D315" s="61" t="s">
        <v>67</v>
      </c>
      <c r="E315" s="62">
        <v>35895</v>
      </c>
      <c r="F315" s="61">
        <v>28173</v>
      </c>
      <c r="G315" s="61" t="s">
        <v>53</v>
      </c>
      <c r="H315" s="63" t="s">
        <v>54</v>
      </c>
      <c r="I315" s="64" t="s">
        <v>58</v>
      </c>
      <c r="J315" s="63" t="s">
        <v>56</v>
      </c>
      <c r="K315" s="65" t="s">
        <v>57</v>
      </c>
      <c r="L315" s="66">
        <v>3831.06</v>
      </c>
      <c r="M315" s="67" t="s">
        <v>58</v>
      </c>
      <c r="N315" s="67" t="s">
        <v>59</v>
      </c>
      <c r="O315" s="67">
        <v>147.1</v>
      </c>
      <c r="P315" s="68" t="s">
        <v>58</v>
      </c>
      <c r="Q315" s="67" t="s">
        <v>60</v>
      </c>
      <c r="R315" s="67">
        <v>23</v>
      </c>
      <c r="S315" s="69" t="s">
        <v>61</v>
      </c>
      <c r="T315" s="69">
        <v>157000</v>
      </c>
      <c r="U315" s="69"/>
      <c r="V315" s="69" t="s">
        <v>62</v>
      </c>
      <c r="W315" s="69">
        <v>4343.77</v>
      </c>
      <c r="X315" s="69"/>
      <c r="Y315" s="69" t="s">
        <v>63</v>
      </c>
      <c r="Z315" s="69">
        <v>902</v>
      </c>
      <c r="AA315" s="69"/>
      <c r="AB315" s="70"/>
      <c r="AC315" s="69" t="s">
        <v>586</v>
      </c>
      <c r="AD315" s="69"/>
      <c r="AE315" s="71">
        <v>85130.85</v>
      </c>
      <c r="AF315" s="69"/>
      <c r="AG315" s="3" t="str">
        <f t="shared" si="11"/>
        <v>ChristopherMcGuire</v>
      </c>
      <c r="AH315" s="3" t="str">
        <f>VLOOKUP($AG315,[1]Sheet8!$B:$G,1,0)</f>
        <v>CHRISTOPHERMCGUIRE</v>
      </c>
      <c r="AI315" s="3" t="str">
        <f>VLOOKUP($AG315,[1]Sheet8!$B:$G,4,0)</f>
        <v>FAM</v>
      </c>
      <c r="AJ315" s="3" t="str">
        <f>VLOOKUP($AG315,[1]Sheet8!$B:$G,5,0)</f>
        <v>L093530003</v>
      </c>
      <c r="AK315" s="3">
        <f>VLOOKUP($AG315,[1]Sheet8!$B:$G,6,0)</f>
        <v>23</v>
      </c>
      <c r="AL315" s="3" t="s">
        <v>58</v>
      </c>
      <c r="AM315" s="3" t="s">
        <v>57</v>
      </c>
      <c r="AN315" s="3">
        <v>3831.06</v>
      </c>
      <c r="AO315" s="3" t="s">
        <v>58</v>
      </c>
      <c r="AP315" s="3" t="s">
        <v>59</v>
      </c>
      <c r="AQ315" s="3">
        <v>147.1</v>
      </c>
      <c r="AR315" s="3" t="s">
        <v>58</v>
      </c>
      <c r="AS315" s="3" t="s">
        <v>60</v>
      </c>
      <c r="AT315" s="3">
        <v>23</v>
      </c>
    </row>
    <row r="316" s="3" customFormat="1" ht="15" customHeight="1" spans="1:46">
      <c r="A316" s="60">
        <v>291</v>
      </c>
      <c r="B316" s="61" t="s">
        <v>640</v>
      </c>
      <c r="C316" s="61" t="s">
        <v>639</v>
      </c>
      <c r="D316" s="61" t="s">
        <v>67</v>
      </c>
      <c r="E316" s="62">
        <v>46102</v>
      </c>
      <c r="F316" s="61">
        <v>28173</v>
      </c>
      <c r="G316" s="61" t="s">
        <v>68</v>
      </c>
      <c r="H316" s="63">
        <v>290</v>
      </c>
      <c r="I316" s="64" t="s">
        <v>58</v>
      </c>
      <c r="J316" s="63" t="s">
        <v>56</v>
      </c>
      <c r="K316" s="65"/>
      <c r="L316" s="66"/>
      <c r="M316" s="67"/>
      <c r="N316" s="67"/>
      <c r="O316" s="67"/>
      <c r="P316" s="68"/>
      <c r="Q316" s="67"/>
      <c r="R316" s="67"/>
      <c r="S316" s="69"/>
      <c r="T316" s="69"/>
      <c r="U316" s="69"/>
      <c r="V316" s="69"/>
      <c r="W316" s="69"/>
      <c r="X316" s="69"/>
      <c r="Y316" s="69"/>
      <c r="Z316" s="69"/>
      <c r="AA316" s="69"/>
      <c r="AB316" s="70"/>
      <c r="AC316" s="69"/>
      <c r="AD316" s="69"/>
      <c r="AE316" s="71"/>
      <c r="AF316" s="69"/>
    </row>
    <row r="317" s="3" customFormat="1" ht="15" customHeight="1" spans="1:46">
      <c r="A317" s="60">
        <v>292</v>
      </c>
      <c r="B317" s="61" t="s">
        <v>641</v>
      </c>
      <c r="C317" s="61" t="s">
        <v>642</v>
      </c>
      <c r="D317" s="61" t="s">
        <v>52</v>
      </c>
      <c r="E317" s="62">
        <v>36408</v>
      </c>
      <c r="F317" s="61">
        <v>28173</v>
      </c>
      <c r="G317" s="61" t="s">
        <v>85</v>
      </c>
      <c r="H317" s="63">
        <v>290</v>
      </c>
      <c r="I317" s="64" t="s">
        <v>58</v>
      </c>
      <c r="J317" s="63" t="s">
        <v>56</v>
      </c>
      <c r="K317" s="65"/>
      <c r="L317" s="66"/>
      <c r="M317" s="67"/>
      <c r="N317" s="67"/>
      <c r="O317" s="67"/>
      <c r="P317" s="68"/>
      <c r="Q317" s="67"/>
      <c r="R317" s="67"/>
      <c r="S317" s="69"/>
      <c r="T317" s="69"/>
      <c r="U317" s="69"/>
      <c r="V317" s="69"/>
      <c r="W317" s="69"/>
      <c r="X317" s="69"/>
      <c r="Y317" s="69"/>
      <c r="Z317" s="69"/>
      <c r="AA317" s="69"/>
      <c r="AB317" s="70"/>
      <c r="AC317" s="69"/>
      <c r="AD317" s="69"/>
      <c r="AE317" s="71"/>
      <c r="AF317" s="69"/>
    </row>
    <row r="318" s="3" customFormat="1" ht="15" customHeight="1" spans="1:46">
      <c r="A318" s="60">
        <v>293</v>
      </c>
      <c r="B318" s="61" t="s">
        <v>130</v>
      </c>
      <c r="C318" s="61" t="s">
        <v>643</v>
      </c>
      <c r="D318" s="61" t="s">
        <v>52</v>
      </c>
      <c r="E318" s="62">
        <v>35431</v>
      </c>
      <c r="F318" s="61">
        <v>46347</v>
      </c>
      <c r="G318" s="61" t="s">
        <v>53</v>
      </c>
      <c r="H318" s="63" t="s">
        <v>54</v>
      </c>
      <c r="I318" s="64" t="s">
        <v>53</v>
      </c>
      <c r="J318" s="63" t="s">
        <v>56</v>
      </c>
      <c r="K318" s="65" t="s">
        <v>57</v>
      </c>
      <c r="L318" s="66">
        <v>1235.83</v>
      </c>
      <c r="M318" s="67" t="s">
        <v>53</v>
      </c>
      <c r="N318" s="67" t="s">
        <v>59</v>
      </c>
      <c r="O318" s="67">
        <v>42.39</v>
      </c>
      <c r="P318" s="68" t="s">
        <v>53</v>
      </c>
      <c r="Q318" s="67" t="s">
        <v>60</v>
      </c>
      <c r="R318" s="67">
        <v>8.22</v>
      </c>
      <c r="S318" s="69" t="s">
        <v>61</v>
      </c>
      <c r="T318" s="69">
        <v>195000</v>
      </c>
      <c r="U318" s="69"/>
      <c r="V318" s="69" t="s">
        <v>62</v>
      </c>
      <c r="W318" s="69">
        <v>5390.94</v>
      </c>
      <c r="X318" s="69"/>
      <c r="Y318" s="69" t="s">
        <v>63</v>
      </c>
      <c r="Z318" s="69">
        <v>1120</v>
      </c>
      <c r="AA318" s="69"/>
      <c r="AB318" s="70"/>
      <c r="AC318" s="69" t="s">
        <v>144</v>
      </c>
      <c r="AD318" s="69"/>
      <c r="AE318" s="71">
        <v>99943</v>
      </c>
      <c r="AF318" s="69"/>
      <c r="AG318" s="3" t="str">
        <f t="shared" ref="AG318:AG326" si="12">B318&amp;C318</f>
        <v>AbigailMcVay</v>
      </c>
      <c r="AH318" s="3" t="str">
        <f>VLOOKUP($AG318,[1]Sheet8!$B:$G,1,0)</f>
        <v>ABIGAILMCVAY</v>
      </c>
      <c r="AI318" s="3" t="str">
        <f>VLOOKUP($AG318,[1]Sheet8!$B:$G,4,0)</f>
        <v>EE</v>
      </c>
      <c r="AJ318" s="3" t="str">
        <f>VLOOKUP($AG318,[1]Sheet8!$B:$G,5,0)</f>
        <v>L093530003</v>
      </c>
      <c r="AK318" s="3">
        <f>VLOOKUP($AG318,[1]Sheet8!$B:$G,6,0)</f>
        <v>8.22</v>
      </c>
      <c r="AL318" s="3" t="s">
        <v>53</v>
      </c>
      <c r="AM318" s="3" t="s">
        <v>57</v>
      </c>
      <c r="AN318" s="3">
        <v>1235.83</v>
      </c>
      <c r="AO318" s="3" t="s">
        <v>53</v>
      </c>
      <c r="AP318" s="3" t="s">
        <v>59</v>
      </c>
      <c r="AQ318" s="3">
        <v>42.39</v>
      </c>
      <c r="AR318" s="3" t="s">
        <v>53</v>
      </c>
      <c r="AS318" s="3" t="s">
        <v>60</v>
      </c>
      <c r="AT318" s="3">
        <v>8.22</v>
      </c>
    </row>
    <row r="319" s="3" customFormat="1" ht="15" customHeight="1" spans="1:46">
      <c r="A319" s="60">
        <v>294</v>
      </c>
      <c r="B319" s="61" t="s">
        <v>594</v>
      </c>
      <c r="C319" s="61" t="s">
        <v>644</v>
      </c>
      <c r="D319" s="61" t="s">
        <v>67</v>
      </c>
      <c r="E319" s="62">
        <v>29636</v>
      </c>
      <c r="F319" s="61" t="s">
        <v>645</v>
      </c>
      <c r="G319" s="61" t="s">
        <v>53</v>
      </c>
      <c r="H319" s="63" t="s">
        <v>54</v>
      </c>
      <c r="I319" s="64" t="s">
        <v>119</v>
      </c>
      <c r="J319" s="63" t="s">
        <v>56</v>
      </c>
      <c r="K319" s="65"/>
      <c r="L319" s="66"/>
      <c r="M319" s="67"/>
      <c r="N319" s="67"/>
      <c r="O319" s="67"/>
      <c r="P319" s="68"/>
      <c r="Q319" s="67"/>
      <c r="R319" s="67"/>
      <c r="S319" s="69" t="s">
        <v>61</v>
      </c>
      <c r="T319" s="69">
        <v>250000</v>
      </c>
      <c r="U319" s="69"/>
      <c r="V319" s="69" t="s">
        <v>62</v>
      </c>
      <c r="W319" s="69">
        <v>10000</v>
      </c>
      <c r="X319" s="69"/>
      <c r="Y319" s="69" t="s">
        <v>63</v>
      </c>
      <c r="Z319" s="69">
        <v>2000</v>
      </c>
      <c r="AA319" s="69"/>
      <c r="AB319" s="70"/>
      <c r="AC319" s="69" t="s">
        <v>162</v>
      </c>
      <c r="AD319" s="69"/>
      <c r="AE319" s="71">
        <v>192853</v>
      </c>
      <c r="AF319" s="69"/>
      <c r="AG319" s="3" t="str">
        <f t="shared" si="12"/>
        <v>ChristopherMelchiorre</v>
      </c>
      <c r="AH319" s="3" t="e">
        <f>VLOOKUP($AG319,[1]Sheet8!$B:$G,1,0)</f>
        <v>#N/A</v>
      </c>
      <c r="AI319" s="3" t="e">
        <f>VLOOKUP($AG319,[1]Sheet8!$B:$G,4,0)</f>
        <v>#N/A</v>
      </c>
      <c r="AJ319" s="3" t="e">
        <f>VLOOKUP($AG319,[1]Sheet8!$B:$G,5,0)</f>
        <v>#N/A</v>
      </c>
      <c r="AK319" s="3" t="e">
        <f>VLOOKUP($AG319,[1]Sheet8!$B:$G,6,0)</f>
        <v>#N/A</v>
      </c>
    </row>
    <row r="320" s="3" customFormat="1" ht="15" customHeight="1" spans="1:46">
      <c r="A320" s="60">
        <v>295</v>
      </c>
      <c r="B320" s="61" t="s">
        <v>153</v>
      </c>
      <c r="C320" s="61" t="s">
        <v>646</v>
      </c>
      <c r="D320" s="61" t="s">
        <v>67</v>
      </c>
      <c r="E320" s="62">
        <v>31440</v>
      </c>
      <c r="F320" s="61">
        <v>20002</v>
      </c>
      <c r="G320" s="61" t="s">
        <v>53</v>
      </c>
      <c r="H320" s="63" t="s">
        <v>54</v>
      </c>
      <c r="I320" s="64" t="s">
        <v>53</v>
      </c>
      <c r="J320" s="63" t="s">
        <v>56</v>
      </c>
      <c r="K320" s="65" t="s">
        <v>82</v>
      </c>
      <c r="L320" s="66">
        <v>781.79</v>
      </c>
      <c r="M320" s="67" t="s">
        <v>53</v>
      </c>
      <c r="N320" s="67" t="s">
        <v>59</v>
      </c>
      <c r="O320" s="67">
        <v>42.39</v>
      </c>
      <c r="P320" s="68"/>
      <c r="Q320" s="67"/>
      <c r="R320" s="67"/>
      <c r="S320" s="69" t="s">
        <v>61</v>
      </c>
      <c r="T320" s="69">
        <v>249000</v>
      </c>
      <c r="U320" s="69"/>
      <c r="V320" s="69" t="s">
        <v>62</v>
      </c>
      <c r="W320" s="69">
        <v>6905.01</v>
      </c>
      <c r="X320" s="69"/>
      <c r="Y320" s="69" t="s">
        <v>63</v>
      </c>
      <c r="Z320" s="69">
        <v>1434</v>
      </c>
      <c r="AA320" s="69"/>
      <c r="AB320" s="70"/>
      <c r="AC320" s="69" t="s">
        <v>647</v>
      </c>
      <c r="AD320" s="69"/>
      <c r="AE320" s="71">
        <v>128012</v>
      </c>
      <c r="AF320" s="69"/>
      <c r="AG320" s="3" t="str">
        <f t="shared" si="12"/>
        <v>EdwardMertz</v>
      </c>
      <c r="AH320" s="3" t="e">
        <f>VLOOKUP($AG320,[1]Sheet8!$B:$G,1,0)</f>
        <v>#N/A</v>
      </c>
      <c r="AI320" s="3" t="e">
        <f>VLOOKUP($AG320,[1]Sheet8!$B:$G,4,0)</f>
        <v>#N/A</v>
      </c>
      <c r="AJ320" s="3" t="e">
        <f>VLOOKUP($AG320,[1]Sheet8!$B:$G,5,0)</f>
        <v>#N/A</v>
      </c>
      <c r="AK320" s="3" t="e">
        <f>VLOOKUP($AG320,[1]Sheet8!$B:$G,6,0)</f>
        <v>#N/A</v>
      </c>
      <c r="AL320" s="3" t="s">
        <v>53</v>
      </c>
      <c r="AM320" s="3" t="s">
        <v>82</v>
      </c>
      <c r="AN320" s="3">
        <v>781.79</v>
      </c>
      <c r="AO320" s="3" t="s">
        <v>53</v>
      </c>
      <c r="AP320" s="3" t="s">
        <v>59</v>
      </c>
      <c r="AQ320" s="3">
        <v>42.39</v>
      </c>
    </row>
    <row r="321" s="3" customFormat="1" ht="15" customHeight="1" spans="1:46">
      <c r="A321" s="60">
        <v>296</v>
      </c>
      <c r="B321" s="61" t="s">
        <v>648</v>
      </c>
      <c r="C321" s="61" t="s">
        <v>649</v>
      </c>
      <c r="D321" s="61" t="s">
        <v>67</v>
      </c>
      <c r="E321" s="62">
        <v>36608</v>
      </c>
      <c r="F321" s="61">
        <v>10312</v>
      </c>
      <c r="G321" s="61" t="s">
        <v>53</v>
      </c>
      <c r="H321" s="63" t="s">
        <v>54</v>
      </c>
      <c r="I321" s="64" t="s">
        <v>53</v>
      </c>
      <c r="J321" s="63" t="s">
        <v>56</v>
      </c>
      <c r="K321" s="65" t="s">
        <v>57</v>
      </c>
      <c r="L321" s="66">
        <v>1235.83</v>
      </c>
      <c r="M321" s="67" t="s">
        <v>53</v>
      </c>
      <c r="N321" s="67" t="s">
        <v>59</v>
      </c>
      <c r="O321" s="67">
        <v>42.39</v>
      </c>
      <c r="P321" s="68" t="s">
        <v>53</v>
      </c>
      <c r="Q321" s="67" t="s">
        <v>60</v>
      </c>
      <c r="R321" s="67">
        <v>8.22</v>
      </c>
      <c r="S321" s="69" t="s">
        <v>61</v>
      </c>
      <c r="T321" s="69">
        <v>210000</v>
      </c>
      <c r="U321" s="69"/>
      <c r="V321" s="69" t="s">
        <v>62</v>
      </c>
      <c r="W321" s="69">
        <v>5833.63</v>
      </c>
      <c r="X321" s="69"/>
      <c r="Y321" s="69" t="s">
        <v>63</v>
      </c>
      <c r="Z321" s="69">
        <v>1212</v>
      </c>
      <c r="AA321" s="69"/>
      <c r="AB321" s="70"/>
      <c r="AC321" s="69" t="s">
        <v>650</v>
      </c>
      <c r="AD321" s="69"/>
      <c r="AE321" s="71">
        <v>105000</v>
      </c>
      <c r="AF321" s="69"/>
      <c r="AG321" s="3" t="str">
        <f t="shared" si="12"/>
        <v>NicholasMetzger</v>
      </c>
      <c r="AH321" s="3" t="str">
        <f>VLOOKUP($AG321,[1]Sheet8!$B:$G,1,0)</f>
        <v>NICHOLASMETZGER</v>
      </c>
      <c r="AI321" s="3" t="str">
        <f>VLOOKUP($AG321,[1]Sheet8!$B:$G,4,0)</f>
        <v>EE</v>
      </c>
      <c r="AJ321" s="3" t="str">
        <f>VLOOKUP($AG321,[1]Sheet8!$B:$G,5,0)</f>
        <v>L093530003</v>
      </c>
      <c r="AK321" s="3">
        <f>VLOOKUP($AG321,[1]Sheet8!$B:$G,6,0)</f>
        <v>8.22</v>
      </c>
      <c r="AL321" s="3" t="s">
        <v>53</v>
      </c>
      <c r="AM321" s="3" t="s">
        <v>57</v>
      </c>
      <c r="AN321" s="3">
        <v>1235.83</v>
      </c>
      <c r="AO321" s="3" t="s">
        <v>53</v>
      </c>
      <c r="AP321" s="3" t="s">
        <v>59</v>
      </c>
      <c r="AQ321" s="3">
        <v>42.39</v>
      </c>
      <c r="AR321" s="3" t="s">
        <v>53</v>
      </c>
      <c r="AS321" s="3" t="s">
        <v>60</v>
      </c>
      <c r="AT321" s="3">
        <v>8.22</v>
      </c>
    </row>
    <row r="322" s="3" customFormat="1" ht="15" customHeight="1" spans="1:46">
      <c r="A322" s="60">
        <v>297</v>
      </c>
      <c r="B322" s="61" t="s">
        <v>651</v>
      </c>
      <c r="C322" s="61" t="s">
        <v>576</v>
      </c>
      <c r="D322" s="61" t="s">
        <v>67</v>
      </c>
      <c r="E322" s="62">
        <v>35293</v>
      </c>
      <c r="F322" s="61">
        <v>95210</v>
      </c>
      <c r="G322" s="61" t="s">
        <v>53</v>
      </c>
      <c r="H322" s="63" t="s">
        <v>54</v>
      </c>
      <c r="I322" s="64" t="s">
        <v>53</v>
      </c>
      <c r="J322" s="63" t="s">
        <v>56</v>
      </c>
      <c r="K322" s="65" t="s">
        <v>57</v>
      </c>
      <c r="L322" s="66">
        <v>1235.83</v>
      </c>
      <c r="M322" s="67" t="s">
        <v>53</v>
      </c>
      <c r="N322" s="67" t="s">
        <v>59</v>
      </c>
      <c r="O322" s="67">
        <v>42.39</v>
      </c>
      <c r="P322" s="68" t="s">
        <v>53</v>
      </c>
      <c r="Q322" s="67" t="s">
        <v>60</v>
      </c>
      <c r="R322" s="67">
        <v>8.22</v>
      </c>
      <c r="S322" s="69" t="s">
        <v>61</v>
      </c>
      <c r="T322" s="69">
        <v>165000</v>
      </c>
      <c r="U322" s="69"/>
      <c r="V322" s="69" t="s">
        <v>62</v>
      </c>
      <c r="W322" s="69">
        <v>4569.51</v>
      </c>
      <c r="X322" s="69"/>
      <c r="Y322" s="69" t="s">
        <v>63</v>
      </c>
      <c r="Z322" s="69">
        <v>949</v>
      </c>
      <c r="AA322" s="69"/>
      <c r="AB322" s="70"/>
      <c r="AC322" s="69" t="s">
        <v>544</v>
      </c>
      <c r="AD322" s="69"/>
      <c r="AE322" s="71">
        <v>84056</v>
      </c>
      <c r="AF322" s="69"/>
      <c r="AG322" s="3" t="str">
        <f t="shared" si="12"/>
        <v>RogerMiao</v>
      </c>
      <c r="AH322" s="3" t="str">
        <f>VLOOKUP($AG322,[1]Sheet8!$B:$G,1,0)</f>
        <v>ROGERMIAO</v>
      </c>
      <c r="AI322" s="3" t="str">
        <f>VLOOKUP($AG322,[1]Sheet8!$B:$G,4,0)</f>
        <v>EE</v>
      </c>
      <c r="AJ322" s="3" t="str">
        <f>VLOOKUP($AG322,[1]Sheet8!$B:$G,5,0)</f>
        <v>L093530003</v>
      </c>
      <c r="AK322" s="3">
        <f>VLOOKUP($AG322,[1]Sheet8!$B:$G,6,0)</f>
        <v>8.22</v>
      </c>
      <c r="AL322" s="3" t="s">
        <v>53</v>
      </c>
      <c r="AM322" s="3" t="s">
        <v>57</v>
      </c>
      <c r="AN322" s="3">
        <v>1235.83</v>
      </c>
      <c r="AO322" s="3" t="s">
        <v>53</v>
      </c>
      <c r="AP322" s="3" t="s">
        <v>59</v>
      </c>
      <c r="AQ322" s="3">
        <v>42.39</v>
      </c>
      <c r="AR322" s="3" t="s">
        <v>53</v>
      </c>
      <c r="AS322" s="3" t="s">
        <v>60</v>
      </c>
      <c r="AT322" s="3">
        <v>8.22</v>
      </c>
    </row>
    <row r="323" s="3" customFormat="1" ht="15" customHeight="1" spans="1:46">
      <c r="A323" s="60">
        <v>298</v>
      </c>
      <c r="B323" s="61" t="s">
        <v>652</v>
      </c>
      <c r="C323" s="61" t="s">
        <v>640</v>
      </c>
      <c r="D323" s="61" t="s">
        <v>52</v>
      </c>
      <c r="E323" s="62">
        <v>29224</v>
      </c>
      <c r="F323" s="61" t="s">
        <v>653</v>
      </c>
      <c r="G323" s="61" t="s">
        <v>53</v>
      </c>
      <c r="H323" s="63" t="s">
        <v>54</v>
      </c>
      <c r="I323" s="64" t="s">
        <v>53</v>
      </c>
      <c r="J323" s="63" t="s">
        <v>56</v>
      </c>
      <c r="K323" s="65" t="s">
        <v>57</v>
      </c>
      <c r="L323" s="66">
        <v>1235.83</v>
      </c>
      <c r="M323" s="67" t="s">
        <v>53</v>
      </c>
      <c r="N323" s="67" t="s">
        <v>59</v>
      </c>
      <c r="O323" s="67">
        <v>42.39</v>
      </c>
      <c r="P323" s="68" t="s">
        <v>53</v>
      </c>
      <c r="Q323" s="67" t="s">
        <v>60</v>
      </c>
      <c r="R323" s="67">
        <v>8.22</v>
      </c>
      <c r="S323" s="69" t="s">
        <v>61</v>
      </c>
      <c r="T323" s="69">
        <v>250000</v>
      </c>
      <c r="U323" s="69"/>
      <c r="V323" s="69" t="s">
        <v>62</v>
      </c>
      <c r="W323" s="69">
        <v>8325.42</v>
      </c>
      <c r="X323" s="69"/>
      <c r="Y323" s="69" t="s">
        <v>63</v>
      </c>
      <c r="Z323" s="69">
        <v>1729</v>
      </c>
      <c r="AA323" s="69"/>
      <c r="AB323" s="70"/>
      <c r="AC323" s="69" t="s">
        <v>654</v>
      </c>
      <c r="AD323" s="69"/>
      <c r="AE323" s="71">
        <v>154645</v>
      </c>
      <c r="AF323" s="69"/>
      <c r="AG323" s="3" t="str">
        <f t="shared" si="12"/>
        <v>KristaMiller</v>
      </c>
      <c r="AH323" s="3" t="str">
        <f>VLOOKUP($AG323,[1]Sheet8!$B:$G,1,0)</f>
        <v>KRISTAMILLER</v>
      </c>
      <c r="AI323" s="3" t="str">
        <f>VLOOKUP($AG323,[1]Sheet8!$B:$G,4,0)</f>
        <v>EE</v>
      </c>
      <c r="AJ323" s="3" t="str">
        <f>VLOOKUP($AG323,[1]Sheet8!$B:$G,5,0)</f>
        <v>L093530003</v>
      </c>
      <c r="AK323" s="3">
        <f>VLOOKUP($AG323,[1]Sheet8!$B:$G,6,0)</f>
        <v>8.22</v>
      </c>
      <c r="AL323" s="3" t="s">
        <v>53</v>
      </c>
      <c r="AM323" s="3" t="s">
        <v>57</v>
      </c>
      <c r="AN323" s="3">
        <v>1235.83</v>
      </c>
      <c r="AO323" s="3" t="s">
        <v>53</v>
      </c>
      <c r="AP323" s="3" t="s">
        <v>59</v>
      </c>
      <c r="AQ323" s="3">
        <v>42.39</v>
      </c>
      <c r="AR323" s="3" t="s">
        <v>53</v>
      </c>
      <c r="AS323" s="3" t="s">
        <v>60</v>
      </c>
      <c r="AT323" s="3">
        <v>8.22</v>
      </c>
    </row>
    <row r="324" s="3" customFormat="1" ht="15" customHeight="1" spans="1:46">
      <c r="A324" s="60">
        <v>299</v>
      </c>
      <c r="B324" s="61" t="s">
        <v>338</v>
      </c>
      <c r="C324" s="61" t="s">
        <v>655</v>
      </c>
      <c r="D324" s="61" t="s">
        <v>52</v>
      </c>
      <c r="E324" s="62">
        <v>32818</v>
      </c>
      <c r="F324" s="61">
        <v>80222</v>
      </c>
      <c r="G324" s="61" t="s">
        <v>53</v>
      </c>
      <c r="H324" s="63" t="s">
        <v>54</v>
      </c>
      <c r="I324" s="64" t="s">
        <v>53</v>
      </c>
      <c r="J324" s="63" t="s">
        <v>56</v>
      </c>
      <c r="K324" s="65" t="s">
        <v>57</v>
      </c>
      <c r="L324" s="66">
        <v>1235.83</v>
      </c>
      <c r="M324" s="67"/>
      <c r="N324" s="67"/>
      <c r="O324" s="67"/>
      <c r="P324" s="68" t="s">
        <v>53</v>
      </c>
      <c r="Q324" s="67" t="s">
        <v>60</v>
      </c>
      <c r="R324" s="67">
        <v>8.22</v>
      </c>
      <c r="S324" s="69" t="s">
        <v>61</v>
      </c>
      <c r="T324" s="69">
        <v>210000</v>
      </c>
      <c r="U324" s="69"/>
      <c r="V324" s="69" t="s">
        <v>62</v>
      </c>
      <c r="W324" s="69">
        <v>5833.63</v>
      </c>
      <c r="X324" s="69"/>
      <c r="Y324" s="69" t="s">
        <v>63</v>
      </c>
      <c r="Z324" s="69">
        <v>1212</v>
      </c>
      <c r="AA324" s="69"/>
      <c r="AB324" s="70"/>
      <c r="AC324" s="69" t="s">
        <v>656</v>
      </c>
      <c r="AD324" s="69"/>
      <c r="AE324" s="71">
        <v>107888</v>
      </c>
      <c r="AF324" s="69"/>
      <c r="AG324" s="3" t="str">
        <f t="shared" si="12"/>
        <v>NikkiMilliren</v>
      </c>
      <c r="AH324" s="3" t="str">
        <f>VLOOKUP($AG324,[1]Sheet8!$B:$G,1,0)</f>
        <v>NIKKIMILLIREN</v>
      </c>
      <c r="AI324" s="3" t="str">
        <f>VLOOKUP($AG324,[1]Sheet8!$B:$G,4,0)</f>
        <v>EE</v>
      </c>
      <c r="AJ324" s="3" t="str">
        <f>VLOOKUP($AG324,[1]Sheet8!$B:$G,5,0)</f>
        <v>L093530003</v>
      </c>
      <c r="AK324" s="3">
        <f>VLOOKUP($AG324,[1]Sheet8!$B:$G,6,0)</f>
        <v>8.22</v>
      </c>
      <c r="AL324" s="3" t="s">
        <v>53</v>
      </c>
      <c r="AM324" s="3" t="s">
        <v>57</v>
      </c>
      <c r="AN324" s="3">
        <v>1235.83</v>
      </c>
      <c r="AR324" s="3" t="s">
        <v>53</v>
      </c>
      <c r="AS324" s="3" t="s">
        <v>60</v>
      </c>
      <c r="AT324" s="3">
        <v>8.22</v>
      </c>
    </row>
    <row r="325" s="3" customFormat="1" ht="15" customHeight="1" spans="1:46">
      <c r="A325" s="60">
        <v>300</v>
      </c>
      <c r="B325" s="61" t="s">
        <v>126</v>
      </c>
      <c r="C325" s="61" t="s">
        <v>657</v>
      </c>
      <c r="D325" s="61" t="s">
        <v>67</v>
      </c>
      <c r="E325" s="62">
        <v>28300</v>
      </c>
      <c r="F325" s="61" t="s">
        <v>658</v>
      </c>
      <c r="G325" s="61" t="s">
        <v>53</v>
      </c>
      <c r="H325" s="63" t="s">
        <v>54</v>
      </c>
      <c r="I325" s="64" t="s">
        <v>119</v>
      </c>
      <c r="J325" s="63" t="s">
        <v>56</v>
      </c>
      <c r="K325" s="65"/>
      <c r="L325" s="66"/>
      <c r="M325" s="67"/>
      <c r="N325" s="67"/>
      <c r="O325" s="67"/>
      <c r="P325" s="68"/>
      <c r="Q325" s="67"/>
      <c r="R325" s="67"/>
      <c r="S325" s="69" t="s">
        <v>61</v>
      </c>
      <c r="T325" s="69">
        <v>250000</v>
      </c>
      <c r="U325" s="69"/>
      <c r="V325" s="69" t="s">
        <v>62</v>
      </c>
      <c r="W325" s="69">
        <v>8778.61</v>
      </c>
      <c r="X325" s="69"/>
      <c r="Y325" s="69" t="s">
        <v>63</v>
      </c>
      <c r="Z325" s="69">
        <v>1823</v>
      </c>
      <c r="AA325" s="69"/>
      <c r="AB325" s="70"/>
      <c r="AC325" s="69" t="s">
        <v>89</v>
      </c>
      <c r="AD325" s="69"/>
      <c r="AE325" s="71">
        <v>165876</v>
      </c>
      <c r="AF325" s="69"/>
      <c r="AG325" s="3" t="str">
        <f t="shared" si="12"/>
        <v>MichaelMimnaugh</v>
      </c>
      <c r="AH325" s="3" t="e">
        <f>VLOOKUP($AG325,[1]Sheet8!$B:$G,1,0)</f>
        <v>#N/A</v>
      </c>
      <c r="AI325" s="3" t="e">
        <f>VLOOKUP($AG325,[1]Sheet8!$B:$G,4,0)</f>
        <v>#N/A</v>
      </c>
      <c r="AJ325" s="3" t="e">
        <f>VLOOKUP($AG325,[1]Sheet8!$B:$G,5,0)</f>
        <v>#N/A</v>
      </c>
      <c r="AK325" s="3" t="e">
        <f>VLOOKUP($AG325,[1]Sheet8!$B:$G,6,0)</f>
        <v>#N/A</v>
      </c>
    </row>
    <row r="326" s="3" customFormat="1" ht="15" customHeight="1" spans="1:46">
      <c r="A326" s="60">
        <v>301</v>
      </c>
      <c r="B326" s="61" t="s">
        <v>215</v>
      </c>
      <c r="C326" s="61" t="s">
        <v>659</v>
      </c>
      <c r="D326" s="61" t="s">
        <v>67</v>
      </c>
      <c r="E326" s="62">
        <v>31527</v>
      </c>
      <c r="F326" s="61">
        <v>55405</v>
      </c>
      <c r="G326" s="61" t="s">
        <v>53</v>
      </c>
      <c r="H326" s="63" t="s">
        <v>54</v>
      </c>
      <c r="I326" s="64" t="s">
        <v>58</v>
      </c>
      <c r="J326" s="63" t="s">
        <v>56</v>
      </c>
      <c r="K326" s="65" t="s">
        <v>57</v>
      </c>
      <c r="L326" s="66">
        <v>3831.06</v>
      </c>
      <c r="M326" s="67"/>
      <c r="N326" s="67"/>
      <c r="O326" s="67"/>
      <c r="P326" s="68" t="s">
        <v>53</v>
      </c>
      <c r="Q326" s="67" t="s">
        <v>60</v>
      </c>
      <c r="R326" s="67">
        <v>8.22</v>
      </c>
      <c r="S326" s="69" t="s">
        <v>61</v>
      </c>
      <c r="T326" s="69">
        <v>239000</v>
      </c>
      <c r="U326" s="69"/>
      <c r="V326" s="69" t="s">
        <v>62</v>
      </c>
      <c r="W326" s="69">
        <v>6612.83</v>
      </c>
      <c r="X326" s="69"/>
      <c r="Y326" s="69" t="s">
        <v>63</v>
      </c>
      <c r="Z326" s="69">
        <v>1373</v>
      </c>
      <c r="AA326" s="69"/>
      <c r="AB326" s="70"/>
      <c r="AC326" s="69" t="s">
        <v>660</v>
      </c>
      <c r="AD326" s="69"/>
      <c r="AE326" s="71">
        <v>122596</v>
      </c>
      <c r="AF326" s="69"/>
      <c r="AG326" s="3" t="str">
        <f t="shared" si="12"/>
        <v>DavidMontgomery</v>
      </c>
      <c r="AH326" s="3" t="str">
        <f>VLOOKUP($AG326,[1]Sheet8!$B:$G,1,0)</f>
        <v>DAVIDMONTGOMERY</v>
      </c>
      <c r="AI326" s="3" t="str">
        <f>VLOOKUP($AG326,[1]Sheet8!$B:$G,4,0)</f>
        <v>EE</v>
      </c>
      <c r="AJ326" s="3" t="str">
        <f>VLOOKUP($AG326,[1]Sheet8!$B:$G,5,0)</f>
        <v>L093530003</v>
      </c>
      <c r="AK326" s="3">
        <f>VLOOKUP($AG326,[1]Sheet8!$B:$G,6,0)</f>
        <v>8.22</v>
      </c>
      <c r="AL326" s="3" t="s">
        <v>58</v>
      </c>
      <c r="AM326" s="3" t="s">
        <v>57</v>
      </c>
      <c r="AN326" s="3">
        <v>3831.06</v>
      </c>
      <c r="AO326" s="3"/>
      <c r="AP326" s="3"/>
      <c r="AQ326" s="3"/>
      <c r="AR326" s="3" t="s">
        <v>53</v>
      </c>
      <c r="AS326" s="3" t="s">
        <v>60</v>
      </c>
      <c r="AT326" s="3">
        <v>8.22</v>
      </c>
    </row>
    <row r="327" s="3" customFormat="1" ht="15" customHeight="1" spans="1:46">
      <c r="A327" s="60">
        <v>302</v>
      </c>
      <c r="B327" s="61" t="s">
        <v>661</v>
      </c>
      <c r="C327" s="61" t="s">
        <v>662</v>
      </c>
      <c r="D327" s="61" t="s">
        <v>52</v>
      </c>
      <c r="E327" s="62">
        <v>45702</v>
      </c>
      <c r="F327" s="61">
        <v>55405</v>
      </c>
      <c r="G327" s="61" t="s">
        <v>68</v>
      </c>
      <c r="H327" s="63">
        <v>301</v>
      </c>
      <c r="I327" s="64" t="s">
        <v>58</v>
      </c>
      <c r="J327" s="63" t="s">
        <v>56</v>
      </c>
      <c r="K327" s="65"/>
      <c r="L327" s="66"/>
      <c r="M327" s="67"/>
      <c r="N327" s="67"/>
      <c r="O327" s="67"/>
      <c r="P327" s="68"/>
      <c r="Q327" s="67"/>
      <c r="R327" s="67"/>
      <c r="S327" s="69"/>
      <c r="T327" s="69"/>
      <c r="U327" s="69"/>
      <c r="V327" s="69"/>
      <c r="W327" s="69"/>
      <c r="X327" s="69"/>
      <c r="Y327" s="69"/>
      <c r="Z327" s="69"/>
      <c r="AA327" s="69"/>
      <c r="AB327" s="70"/>
      <c r="AC327" s="69"/>
      <c r="AD327" s="69"/>
      <c r="AE327" s="71"/>
      <c r="AF327" s="69"/>
    </row>
    <row r="328" s="3" customFormat="1" ht="15" customHeight="1" spans="1:46">
      <c r="A328" s="60">
        <v>303</v>
      </c>
      <c r="B328" s="61" t="s">
        <v>663</v>
      </c>
      <c r="C328" s="61" t="s">
        <v>662</v>
      </c>
      <c r="D328" s="61" t="s">
        <v>52</v>
      </c>
      <c r="E328" s="62">
        <v>33602</v>
      </c>
      <c r="F328" s="61">
        <v>55405</v>
      </c>
      <c r="G328" s="61" t="s">
        <v>85</v>
      </c>
      <c r="H328" s="63">
        <v>301</v>
      </c>
      <c r="I328" s="64" t="s">
        <v>58</v>
      </c>
      <c r="J328" s="63" t="s">
        <v>56</v>
      </c>
      <c r="K328" s="65"/>
      <c r="L328" s="66"/>
      <c r="M328" s="67"/>
      <c r="N328" s="67"/>
      <c r="O328" s="67"/>
      <c r="P328" s="68"/>
      <c r="Q328" s="67"/>
      <c r="R328" s="67"/>
      <c r="S328" s="69"/>
      <c r="T328" s="69"/>
      <c r="U328" s="69"/>
      <c r="V328" s="69"/>
      <c r="W328" s="69"/>
      <c r="X328" s="69"/>
      <c r="Y328" s="69"/>
      <c r="Z328" s="69"/>
      <c r="AA328" s="69"/>
      <c r="AB328" s="70"/>
      <c r="AC328" s="69"/>
      <c r="AD328" s="69"/>
      <c r="AE328" s="71"/>
      <c r="AF328" s="69"/>
    </row>
    <row r="329" s="3" customFormat="1" ht="15" customHeight="1" spans="1:46">
      <c r="A329" s="60">
        <v>304</v>
      </c>
      <c r="B329" s="61" t="s">
        <v>664</v>
      </c>
      <c r="C329" s="61" t="s">
        <v>665</v>
      </c>
      <c r="D329" s="61" t="s">
        <v>52</v>
      </c>
      <c r="E329" s="62">
        <v>32724</v>
      </c>
      <c r="F329" s="61">
        <v>14202</v>
      </c>
      <c r="G329" s="61" t="s">
        <v>53</v>
      </c>
      <c r="H329" s="63" t="s">
        <v>54</v>
      </c>
      <c r="I329" s="64" t="s">
        <v>81</v>
      </c>
      <c r="J329" s="63" t="s">
        <v>56</v>
      </c>
      <c r="K329" s="65" t="s">
        <v>57</v>
      </c>
      <c r="L329" s="66">
        <v>2718.81</v>
      </c>
      <c r="M329" s="67" t="s">
        <v>81</v>
      </c>
      <c r="N329" s="67" t="s">
        <v>59</v>
      </c>
      <c r="O329" s="67">
        <v>84.72</v>
      </c>
      <c r="P329" s="68" t="s">
        <v>81</v>
      </c>
      <c r="Q329" s="67" t="s">
        <v>60</v>
      </c>
      <c r="R329" s="67">
        <v>16.48</v>
      </c>
      <c r="S329" s="69" t="s">
        <v>61</v>
      </c>
      <c r="T329" s="69">
        <v>207000</v>
      </c>
      <c r="U329" s="69"/>
      <c r="V329" s="69" t="s">
        <v>62</v>
      </c>
      <c r="W329" s="69">
        <v>5744.51</v>
      </c>
      <c r="X329" s="69"/>
      <c r="Y329" s="69" t="s">
        <v>63</v>
      </c>
      <c r="Z329" s="69">
        <v>1193</v>
      </c>
      <c r="AA329" s="69"/>
      <c r="AB329" s="70"/>
      <c r="AC329" s="69" t="s">
        <v>460</v>
      </c>
      <c r="AD329" s="69"/>
      <c r="AE329" s="71">
        <v>106497</v>
      </c>
      <c r="AF329" s="69"/>
      <c r="AG329" s="3" t="str">
        <f>B329&amp;C329</f>
        <v>MelissaMoore</v>
      </c>
      <c r="AH329" s="3" t="str">
        <f>VLOOKUP($AG329,[1]Sheet8!$B:$G,1,0)</f>
        <v>MELISSAMOORE</v>
      </c>
      <c r="AI329" s="3" t="str">
        <f>VLOOKUP($AG329,[1]Sheet8!$B:$G,4,0)</f>
        <v>ES</v>
      </c>
      <c r="AJ329" s="3" t="str">
        <f>VLOOKUP($AG329,[1]Sheet8!$B:$G,5,0)</f>
        <v>L093530003</v>
      </c>
      <c r="AK329" s="3">
        <f>VLOOKUP($AG329,[1]Sheet8!$B:$G,6,0)</f>
        <v>16.48</v>
      </c>
      <c r="AL329" s="3" t="s">
        <v>81</v>
      </c>
      <c r="AM329" s="3" t="s">
        <v>57</v>
      </c>
      <c r="AN329" s="3">
        <v>2718.81</v>
      </c>
      <c r="AO329" s="3" t="s">
        <v>81</v>
      </c>
      <c r="AP329" s="3" t="s">
        <v>59</v>
      </c>
      <c r="AQ329" s="3">
        <v>84.72</v>
      </c>
      <c r="AR329" s="3" t="s">
        <v>81</v>
      </c>
      <c r="AS329" s="3" t="s">
        <v>60</v>
      </c>
      <c r="AT329" s="3">
        <v>16.48</v>
      </c>
    </row>
    <row r="330" s="3" customFormat="1" ht="15" customHeight="1" spans="1:46">
      <c r="A330" s="60">
        <v>305</v>
      </c>
      <c r="B330" s="61" t="s">
        <v>65</v>
      </c>
      <c r="C330" s="61" t="s">
        <v>666</v>
      </c>
      <c r="D330" s="61" t="s">
        <v>67</v>
      </c>
      <c r="E330" s="62">
        <v>32266</v>
      </c>
      <c r="F330" s="61">
        <v>14202</v>
      </c>
      <c r="G330" s="61" t="s">
        <v>85</v>
      </c>
      <c r="H330" s="63">
        <v>304</v>
      </c>
      <c r="I330" s="64" t="s">
        <v>81</v>
      </c>
      <c r="J330" s="63" t="s">
        <v>56</v>
      </c>
      <c r="K330" s="65"/>
      <c r="L330" s="66"/>
      <c r="M330" s="67"/>
      <c r="N330" s="67"/>
      <c r="O330" s="67"/>
      <c r="P330" s="68"/>
      <c r="Q330" s="67"/>
      <c r="R330" s="67"/>
      <c r="S330" s="69"/>
      <c r="T330" s="69"/>
      <c r="U330" s="69"/>
      <c r="V330" s="69"/>
      <c r="W330" s="69"/>
      <c r="X330" s="69"/>
      <c r="Y330" s="69"/>
      <c r="Z330" s="69"/>
      <c r="AA330" s="69"/>
      <c r="AB330" s="70"/>
      <c r="AC330" s="69"/>
      <c r="AD330" s="69"/>
      <c r="AE330" s="71"/>
      <c r="AF330" s="69"/>
    </row>
    <row r="331" s="3" customFormat="1" ht="15" customHeight="1" spans="1:46">
      <c r="A331" s="60">
        <v>306</v>
      </c>
      <c r="B331" s="61" t="s">
        <v>667</v>
      </c>
      <c r="C331" s="61" t="s">
        <v>142</v>
      </c>
      <c r="D331" s="61" t="s">
        <v>67</v>
      </c>
      <c r="E331" s="62">
        <v>34139</v>
      </c>
      <c r="F331" s="61">
        <v>94111</v>
      </c>
      <c r="G331" s="61" t="s">
        <v>53</v>
      </c>
      <c r="H331" s="63" t="s">
        <v>54</v>
      </c>
      <c r="I331" s="64" t="s">
        <v>81</v>
      </c>
      <c r="J331" s="63" t="s">
        <v>56</v>
      </c>
      <c r="K331" s="65" t="s">
        <v>57</v>
      </c>
      <c r="L331" s="66">
        <v>2718.81</v>
      </c>
      <c r="M331" s="67" t="s">
        <v>81</v>
      </c>
      <c r="N331" s="67" t="s">
        <v>59</v>
      </c>
      <c r="O331" s="67">
        <v>84.72</v>
      </c>
      <c r="P331" s="68" t="s">
        <v>81</v>
      </c>
      <c r="Q331" s="67" t="s">
        <v>60</v>
      </c>
      <c r="R331" s="67">
        <v>16.48</v>
      </c>
      <c r="S331" s="69" t="s">
        <v>61</v>
      </c>
      <c r="T331" s="69">
        <v>185000</v>
      </c>
      <c r="U331" s="69"/>
      <c r="V331" s="69" t="s">
        <v>62</v>
      </c>
      <c r="W331" s="69">
        <v>5132.76</v>
      </c>
      <c r="X331" s="69"/>
      <c r="Y331" s="69" t="s">
        <v>63</v>
      </c>
      <c r="Z331" s="69">
        <v>1066</v>
      </c>
      <c r="AA331" s="69"/>
      <c r="AB331" s="70"/>
      <c r="AC331" s="69" t="s">
        <v>280</v>
      </c>
      <c r="AD331" s="69"/>
      <c r="AE331" s="71">
        <v>95618</v>
      </c>
      <c r="AF331" s="69"/>
      <c r="AG331" s="3" t="str">
        <f>B331&amp;C331</f>
        <v>DanielMorgan</v>
      </c>
      <c r="AH331" s="3" t="str">
        <f>VLOOKUP($AG331,[1]Sheet8!$B:$G,1,0)</f>
        <v>DANIELMORGAN</v>
      </c>
      <c r="AI331" s="3" t="str">
        <f>VLOOKUP($AG331,[1]Sheet8!$B:$G,4,0)</f>
        <v>ES</v>
      </c>
      <c r="AJ331" s="3" t="str">
        <f>VLOOKUP($AG331,[1]Sheet8!$B:$G,5,0)</f>
        <v>L093530003</v>
      </c>
      <c r="AK331" s="3">
        <f>VLOOKUP($AG331,[1]Sheet8!$B:$G,6,0)</f>
        <v>16.48</v>
      </c>
      <c r="AL331" s="3" t="s">
        <v>81</v>
      </c>
      <c r="AM331" s="3" t="s">
        <v>57</v>
      </c>
      <c r="AN331" s="3">
        <v>2718.81</v>
      </c>
      <c r="AO331" s="3" t="s">
        <v>81</v>
      </c>
      <c r="AP331" s="3" t="s">
        <v>59</v>
      </c>
      <c r="AQ331" s="3">
        <v>84.72</v>
      </c>
      <c r="AR331" s="3" t="s">
        <v>81</v>
      </c>
      <c r="AS331" s="3" t="s">
        <v>60</v>
      </c>
      <c r="AT331" s="3">
        <v>16.48</v>
      </c>
    </row>
    <row r="332" s="3" customFormat="1" ht="15" customHeight="1" spans="1:46">
      <c r="A332" s="60">
        <v>307</v>
      </c>
      <c r="B332" s="61" t="s">
        <v>668</v>
      </c>
      <c r="C332" s="61" t="s">
        <v>669</v>
      </c>
      <c r="D332" s="61" t="s">
        <v>67</v>
      </c>
      <c r="E332" s="62">
        <v>34668</v>
      </c>
      <c r="F332" s="61">
        <v>94111</v>
      </c>
      <c r="G332" s="61" t="s">
        <v>85</v>
      </c>
      <c r="H332" s="63">
        <v>306</v>
      </c>
      <c r="I332" s="64" t="s">
        <v>81</v>
      </c>
      <c r="J332" s="63" t="s">
        <v>56</v>
      </c>
      <c r="K332" s="65"/>
      <c r="L332" s="66"/>
      <c r="M332" s="67"/>
      <c r="N332" s="67"/>
      <c r="O332" s="67"/>
      <c r="P332" s="68"/>
      <c r="Q332" s="67"/>
      <c r="R332" s="67"/>
      <c r="S332" s="69"/>
      <c r="T332" s="69"/>
      <c r="U332" s="69"/>
      <c r="V332" s="69"/>
      <c r="W332" s="69"/>
      <c r="X332" s="69"/>
      <c r="Y332" s="69"/>
      <c r="Z332" s="69"/>
      <c r="AA332" s="69"/>
      <c r="AB332" s="70"/>
      <c r="AC332" s="69"/>
      <c r="AD332" s="69"/>
      <c r="AE332" s="71"/>
      <c r="AF332" s="69"/>
    </row>
    <row r="333" s="3" customFormat="1" ht="15" customHeight="1" spans="1:46">
      <c r="A333" s="60">
        <v>308</v>
      </c>
      <c r="B333" s="61" t="s">
        <v>670</v>
      </c>
      <c r="C333" s="61" t="s">
        <v>671</v>
      </c>
      <c r="D333" s="61" t="s">
        <v>67</v>
      </c>
      <c r="E333" s="62">
        <v>30533</v>
      </c>
      <c r="F333" s="61" t="s">
        <v>672</v>
      </c>
      <c r="G333" s="61" t="s">
        <v>53</v>
      </c>
      <c r="H333" s="63" t="s">
        <v>54</v>
      </c>
      <c r="I333" s="64" t="s">
        <v>55</v>
      </c>
      <c r="J333" s="63" t="s">
        <v>56</v>
      </c>
      <c r="K333" s="65" t="s">
        <v>57</v>
      </c>
      <c r="L333" s="66">
        <v>2224.48</v>
      </c>
      <c r="M333" s="67" t="s">
        <v>58</v>
      </c>
      <c r="N333" s="67" t="s">
        <v>59</v>
      </c>
      <c r="O333" s="67">
        <v>147.1</v>
      </c>
      <c r="P333" s="68" t="s">
        <v>55</v>
      </c>
      <c r="Q333" s="67" t="s">
        <v>60</v>
      </c>
      <c r="R333" s="67">
        <v>13.95</v>
      </c>
      <c r="S333" s="69" t="s">
        <v>61</v>
      </c>
      <c r="T333" s="69">
        <v>250000</v>
      </c>
      <c r="U333" s="69"/>
      <c r="V333" s="69" t="s">
        <v>62</v>
      </c>
      <c r="W333" s="69">
        <v>9261.57</v>
      </c>
      <c r="X333" s="69"/>
      <c r="Y333" s="69" t="s">
        <v>63</v>
      </c>
      <c r="Z333" s="69">
        <v>1923</v>
      </c>
      <c r="AA333" s="69"/>
      <c r="AB333" s="70"/>
      <c r="AC333" s="69" t="s">
        <v>89</v>
      </c>
      <c r="AD333" s="69"/>
      <c r="AE333" s="71">
        <v>171701</v>
      </c>
      <c r="AF333" s="69"/>
      <c r="AG333" s="3" t="str">
        <f>B333&amp;C333</f>
        <v>JeffMorris</v>
      </c>
      <c r="AH333" s="3" t="str">
        <f>VLOOKUP($AG333,[1]Sheet8!$B:$G,1,0)</f>
        <v>JEFFMORRIS</v>
      </c>
      <c r="AI333" s="3" t="str">
        <f>VLOOKUP($AG333,[1]Sheet8!$B:$G,4,0)</f>
        <v>EC</v>
      </c>
      <c r="AJ333" s="3" t="str">
        <f>VLOOKUP($AG333,[1]Sheet8!$B:$G,5,0)</f>
        <v>L093530003</v>
      </c>
      <c r="AK333" s="3">
        <f>VLOOKUP($AG333,[1]Sheet8!$B:$G,6,0)</f>
        <v>13.95</v>
      </c>
      <c r="AL333" s="3" t="s">
        <v>55</v>
      </c>
      <c r="AM333" s="3" t="s">
        <v>57</v>
      </c>
      <c r="AN333" s="3">
        <v>2224.48</v>
      </c>
      <c r="AO333" s="3" t="s">
        <v>58</v>
      </c>
      <c r="AP333" s="3" t="s">
        <v>59</v>
      </c>
      <c r="AQ333" s="3">
        <v>147.1</v>
      </c>
      <c r="AR333" s="3" t="s">
        <v>55</v>
      </c>
      <c r="AS333" s="3" t="s">
        <v>60</v>
      </c>
      <c r="AT333" s="3">
        <v>13.95</v>
      </c>
    </row>
    <row r="334" s="3" customFormat="1" ht="15" customHeight="1" spans="1:46">
      <c r="A334" s="60">
        <v>309</v>
      </c>
      <c r="B334" s="61" t="s">
        <v>673</v>
      </c>
      <c r="C334" s="61" t="s">
        <v>671</v>
      </c>
      <c r="D334" s="61" t="s">
        <v>52</v>
      </c>
      <c r="E334" s="62">
        <v>40660</v>
      </c>
      <c r="F334" s="61" t="s">
        <v>672</v>
      </c>
      <c r="G334" s="61" t="s">
        <v>68</v>
      </c>
      <c r="H334" s="63">
        <v>308</v>
      </c>
      <c r="I334" s="64" t="s">
        <v>55</v>
      </c>
      <c r="J334" s="63" t="s">
        <v>56</v>
      </c>
      <c r="K334" s="65"/>
      <c r="L334" s="66"/>
      <c r="M334" s="67"/>
      <c r="N334" s="67"/>
      <c r="O334" s="67"/>
      <c r="P334" s="68"/>
      <c r="Q334" s="67"/>
      <c r="R334" s="67"/>
      <c r="S334" s="69"/>
      <c r="T334" s="69"/>
      <c r="U334" s="69"/>
      <c r="V334" s="69"/>
      <c r="W334" s="69"/>
      <c r="X334" s="69"/>
      <c r="Y334" s="69"/>
      <c r="Z334" s="69"/>
      <c r="AA334" s="69"/>
      <c r="AB334" s="70"/>
      <c r="AC334" s="69"/>
      <c r="AD334" s="69"/>
      <c r="AE334" s="71"/>
      <c r="AF334" s="69"/>
    </row>
    <row r="335" s="3" customFormat="1" ht="15" customHeight="1" spans="1:46">
      <c r="A335" s="60">
        <v>310</v>
      </c>
      <c r="B335" s="61" t="s">
        <v>674</v>
      </c>
      <c r="C335" s="61" t="s">
        <v>671</v>
      </c>
      <c r="D335" s="61" t="s">
        <v>67</v>
      </c>
      <c r="E335" s="62">
        <v>41392</v>
      </c>
      <c r="F335" s="61" t="s">
        <v>672</v>
      </c>
      <c r="G335" s="61" t="s">
        <v>68</v>
      </c>
      <c r="H335" s="63">
        <v>308</v>
      </c>
      <c r="I335" s="64" t="s">
        <v>55</v>
      </c>
      <c r="J335" s="63" t="s">
        <v>56</v>
      </c>
      <c r="K335" s="65"/>
      <c r="L335" s="66"/>
      <c r="M335" s="67"/>
      <c r="N335" s="67"/>
      <c r="O335" s="67"/>
      <c r="P335" s="68"/>
      <c r="Q335" s="67"/>
      <c r="R335" s="67"/>
      <c r="S335" s="69"/>
      <c r="T335" s="69"/>
      <c r="U335" s="69"/>
      <c r="V335" s="69"/>
      <c r="W335" s="69"/>
      <c r="X335" s="69"/>
      <c r="Y335" s="69"/>
      <c r="Z335" s="69"/>
      <c r="AA335" s="69"/>
      <c r="AB335" s="70"/>
      <c r="AC335" s="69"/>
      <c r="AD335" s="69"/>
      <c r="AE335" s="71"/>
      <c r="AF335" s="69"/>
    </row>
    <row r="336" s="3" customFormat="1" ht="15" customHeight="1" spans="1:46">
      <c r="A336" s="60">
        <v>311</v>
      </c>
      <c r="B336" s="61" t="s">
        <v>675</v>
      </c>
      <c r="C336" s="61" t="s">
        <v>676</v>
      </c>
      <c r="D336" s="61" t="s">
        <v>67</v>
      </c>
      <c r="E336" s="62">
        <v>34604</v>
      </c>
      <c r="F336" s="61" t="s">
        <v>677</v>
      </c>
      <c r="G336" s="61" t="s">
        <v>53</v>
      </c>
      <c r="H336" s="63" t="s">
        <v>54</v>
      </c>
      <c r="I336" s="64" t="s">
        <v>53</v>
      </c>
      <c r="J336" s="63" t="s">
        <v>56</v>
      </c>
      <c r="K336" s="65" t="s">
        <v>57</v>
      </c>
      <c r="L336" s="66">
        <v>1235.83</v>
      </c>
      <c r="M336" s="67" t="s">
        <v>53</v>
      </c>
      <c r="N336" s="67" t="s">
        <v>59</v>
      </c>
      <c r="O336" s="67">
        <v>42.39</v>
      </c>
      <c r="P336" s="68" t="s">
        <v>53</v>
      </c>
      <c r="Q336" s="67" t="s">
        <v>60</v>
      </c>
      <c r="R336" s="67">
        <v>8.22</v>
      </c>
      <c r="S336" s="69" t="s">
        <v>61</v>
      </c>
      <c r="T336" s="69">
        <v>179000</v>
      </c>
      <c r="U336" s="69"/>
      <c r="V336" s="69" t="s">
        <v>62</v>
      </c>
      <c r="W336" s="69">
        <v>4945.97</v>
      </c>
      <c r="X336" s="69"/>
      <c r="Y336" s="69" t="s">
        <v>63</v>
      </c>
      <c r="Z336" s="69">
        <v>1027</v>
      </c>
      <c r="AA336" s="69"/>
      <c r="AB336" s="70"/>
      <c r="AC336" s="69" t="s">
        <v>615</v>
      </c>
      <c r="AD336" s="69"/>
      <c r="AE336" s="71">
        <v>92317</v>
      </c>
      <c r="AF336" s="69"/>
      <c r="AG336" s="3" t="str">
        <f>B336&amp;C336</f>
        <v>NoureldinMoussa</v>
      </c>
      <c r="AH336" s="3" t="str">
        <f>VLOOKUP($AG336,[1]Sheet8!$B:$G,1,0)</f>
        <v>NOURELDINMOUSSA</v>
      </c>
      <c r="AI336" s="3" t="str">
        <f>VLOOKUP($AG336,[1]Sheet8!$B:$G,4,0)</f>
        <v>EE</v>
      </c>
      <c r="AJ336" s="3" t="str">
        <f>VLOOKUP($AG336,[1]Sheet8!$B:$G,5,0)</f>
        <v>L093530003</v>
      </c>
      <c r="AK336" s="3">
        <f>VLOOKUP($AG336,[1]Sheet8!$B:$G,6,0)</f>
        <v>8.22</v>
      </c>
      <c r="AL336" s="3" t="s">
        <v>53</v>
      </c>
      <c r="AM336" s="3" t="s">
        <v>57</v>
      </c>
      <c r="AN336" s="3">
        <v>1235.83</v>
      </c>
      <c r="AO336" s="3" t="s">
        <v>53</v>
      </c>
      <c r="AP336" s="3" t="s">
        <v>59</v>
      </c>
      <c r="AQ336" s="3">
        <v>42.39</v>
      </c>
      <c r="AR336" s="3" t="s">
        <v>53</v>
      </c>
      <c r="AS336" s="3" t="s">
        <v>60</v>
      </c>
      <c r="AT336" s="3">
        <v>8.22</v>
      </c>
    </row>
    <row r="337" s="3" customFormat="1" ht="15" customHeight="1" spans="1:46">
      <c r="A337" s="60">
        <v>312</v>
      </c>
      <c r="B337" s="61" t="s">
        <v>652</v>
      </c>
      <c r="C337" s="61" t="s">
        <v>678</v>
      </c>
      <c r="D337" s="61" t="s">
        <v>52</v>
      </c>
      <c r="E337" s="62">
        <v>33161</v>
      </c>
      <c r="F337" s="61">
        <v>11211</v>
      </c>
      <c r="G337" s="61" t="s">
        <v>53</v>
      </c>
      <c r="H337" s="63" t="s">
        <v>54</v>
      </c>
      <c r="I337" s="64" t="s">
        <v>53</v>
      </c>
      <c r="J337" s="63" t="s">
        <v>56</v>
      </c>
      <c r="K337" s="65" t="s">
        <v>57</v>
      </c>
      <c r="L337" s="66">
        <v>1235.83</v>
      </c>
      <c r="M337" s="67" t="s">
        <v>53</v>
      </c>
      <c r="N337" s="67" t="s">
        <v>59</v>
      </c>
      <c r="O337" s="67">
        <v>42.39</v>
      </c>
      <c r="P337" s="68" t="s">
        <v>53</v>
      </c>
      <c r="Q337" s="67" t="s">
        <v>60</v>
      </c>
      <c r="R337" s="67">
        <v>8.22</v>
      </c>
      <c r="S337" s="69" t="s">
        <v>61</v>
      </c>
      <c r="T337" s="69">
        <v>178000</v>
      </c>
      <c r="U337" s="69"/>
      <c r="V337" s="69" t="s">
        <v>62</v>
      </c>
      <c r="W337" s="69">
        <v>4931.41</v>
      </c>
      <c r="X337" s="69"/>
      <c r="Y337" s="69" t="s">
        <v>63</v>
      </c>
      <c r="Z337" s="69">
        <v>1024</v>
      </c>
      <c r="AA337" s="69"/>
      <c r="AB337" s="70"/>
      <c r="AC337" s="69" t="s">
        <v>144</v>
      </c>
      <c r="AD337" s="69"/>
      <c r="AE337" s="71">
        <v>91423</v>
      </c>
      <c r="AF337" s="69"/>
      <c r="AG337" s="3" t="str">
        <f>B337&amp;C337</f>
        <v>KristaMuhlebach</v>
      </c>
      <c r="AH337" s="3" t="str">
        <f>VLOOKUP($AG337,[1]Sheet8!$B:$G,1,0)</f>
        <v>KRISTAMUHLEBACH</v>
      </c>
      <c r="AI337" s="3" t="str">
        <f>VLOOKUP($AG337,[1]Sheet8!$B:$G,4,0)</f>
        <v>EE</v>
      </c>
      <c r="AJ337" s="3" t="str">
        <f>VLOOKUP($AG337,[1]Sheet8!$B:$G,5,0)</f>
        <v>L093530003</v>
      </c>
      <c r="AK337" s="3">
        <f>VLOOKUP($AG337,[1]Sheet8!$B:$G,6,0)</f>
        <v>8.22</v>
      </c>
      <c r="AL337" s="3" t="s">
        <v>53</v>
      </c>
      <c r="AM337" s="3" t="s">
        <v>57</v>
      </c>
      <c r="AN337" s="3">
        <v>1235.83</v>
      </c>
      <c r="AO337" s="3" t="s">
        <v>53</v>
      </c>
      <c r="AP337" s="3" t="s">
        <v>59</v>
      </c>
      <c r="AQ337" s="3">
        <v>42.39</v>
      </c>
      <c r="AR337" s="3" t="s">
        <v>53</v>
      </c>
      <c r="AS337" s="3" t="s">
        <v>60</v>
      </c>
      <c r="AT337" s="3">
        <v>8.22</v>
      </c>
    </row>
    <row r="338" s="3" customFormat="1" ht="15" customHeight="1" spans="1:46">
      <c r="A338" s="60">
        <v>313</v>
      </c>
      <c r="B338" s="61" t="s">
        <v>528</v>
      </c>
      <c r="C338" s="61" t="s">
        <v>679</v>
      </c>
      <c r="D338" s="61" t="s">
        <v>67</v>
      </c>
      <c r="E338" s="62">
        <v>32644</v>
      </c>
      <c r="F338" s="61" t="s">
        <v>680</v>
      </c>
      <c r="G338" s="61" t="s">
        <v>53</v>
      </c>
      <c r="H338" s="63" t="s">
        <v>54</v>
      </c>
      <c r="I338" s="64" t="s">
        <v>53</v>
      </c>
      <c r="J338" s="63" t="s">
        <v>56</v>
      </c>
      <c r="K338" s="65" t="s">
        <v>57</v>
      </c>
      <c r="L338" s="66">
        <v>1235.83</v>
      </c>
      <c r="M338" s="67" t="s">
        <v>53</v>
      </c>
      <c r="N338" s="67" t="s">
        <v>59</v>
      </c>
      <c r="O338" s="67">
        <v>42.39</v>
      </c>
      <c r="P338" s="68" t="s">
        <v>53</v>
      </c>
      <c r="Q338" s="67" t="s">
        <v>60</v>
      </c>
      <c r="R338" s="67">
        <v>8.22</v>
      </c>
      <c r="S338" s="69" t="s">
        <v>61</v>
      </c>
      <c r="T338" s="69">
        <v>206000</v>
      </c>
      <c r="U338" s="69"/>
      <c r="V338" s="69" t="s">
        <v>62</v>
      </c>
      <c r="W338" s="69">
        <v>5695.62</v>
      </c>
      <c r="X338" s="69"/>
      <c r="Y338" s="69" t="s">
        <v>63</v>
      </c>
      <c r="Z338" s="69">
        <v>1183</v>
      </c>
      <c r="AA338" s="69"/>
      <c r="AB338" s="70"/>
      <c r="AC338" s="69" t="s">
        <v>681</v>
      </c>
      <c r="AD338" s="69"/>
      <c r="AE338" s="71">
        <v>107129</v>
      </c>
      <c r="AF338" s="69"/>
      <c r="AG338" s="3" t="str">
        <f>B338&amp;C338</f>
        <v>JeffreyMulvihill</v>
      </c>
      <c r="AH338" s="3" t="str">
        <f>VLOOKUP($AG338,[1]Sheet8!$B:$G,1,0)</f>
        <v>JEFFREYMULVIHILL</v>
      </c>
      <c r="AI338" s="3" t="str">
        <f>VLOOKUP($AG338,[1]Sheet8!$B:$G,4,0)</f>
        <v>EE</v>
      </c>
      <c r="AJ338" s="3" t="str">
        <f>VLOOKUP($AG338,[1]Sheet8!$B:$G,5,0)</f>
        <v>L093530003</v>
      </c>
      <c r="AK338" s="3">
        <f>VLOOKUP($AG338,[1]Sheet8!$B:$G,6,0)</f>
        <v>8.22</v>
      </c>
      <c r="AL338" s="3" t="s">
        <v>53</v>
      </c>
      <c r="AM338" s="3" t="s">
        <v>57</v>
      </c>
      <c r="AN338" s="3">
        <v>1235.83</v>
      </c>
      <c r="AO338" s="3" t="s">
        <v>53</v>
      </c>
      <c r="AP338" s="3" t="s">
        <v>59</v>
      </c>
      <c r="AQ338" s="3">
        <v>42.39</v>
      </c>
      <c r="AR338" s="3" t="s">
        <v>53</v>
      </c>
      <c r="AS338" s="3" t="s">
        <v>60</v>
      </c>
      <c r="AT338" s="3">
        <v>8.22</v>
      </c>
    </row>
    <row r="339" s="3" customFormat="1" ht="15" customHeight="1" spans="1:46">
      <c r="A339" s="60">
        <v>314</v>
      </c>
      <c r="B339" s="61" t="s">
        <v>682</v>
      </c>
      <c r="C339" s="61" t="s">
        <v>683</v>
      </c>
      <c r="D339" s="61" t="s">
        <v>52</v>
      </c>
      <c r="E339" s="62">
        <v>28230</v>
      </c>
      <c r="F339" s="61">
        <v>92549</v>
      </c>
      <c r="G339" s="61" t="s">
        <v>53</v>
      </c>
      <c r="H339" s="63" t="s">
        <v>54</v>
      </c>
      <c r="I339" s="64" t="s">
        <v>53</v>
      </c>
      <c r="J339" s="63" t="s">
        <v>56</v>
      </c>
      <c r="K339" s="65" t="s">
        <v>57</v>
      </c>
      <c r="L339" s="66">
        <v>1235.83</v>
      </c>
      <c r="M339" s="67" t="s">
        <v>53</v>
      </c>
      <c r="N339" s="67" t="s">
        <v>59</v>
      </c>
      <c r="O339" s="67">
        <v>42.39</v>
      </c>
      <c r="P339" s="68" t="s">
        <v>53</v>
      </c>
      <c r="Q339" s="67" t="s">
        <v>60</v>
      </c>
      <c r="R339" s="67">
        <v>8.22</v>
      </c>
      <c r="S339" s="69" t="s">
        <v>61</v>
      </c>
      <c r="T339" s="69">
        <v>250000</v>
      </c>
      <c r="U339" s="69"/>
      <c r="V339" s="69" t="s">
        <v>62</v>
      </c>
      <c r="W339" s="69">
        <v>9722.71</v>
      </c>
      <c r="X339" s="69"/>
      <c r="Y339" s="69" t="s">
        <v>63</v>
      </c>
      <c r="Z339" s="69">
        <v>2000</v>
      </c>
      <c r="AA339" s="69"/>
      <c r="AB339" s="70"/>
      <c r="AC339" s="69" t="s">
        <v>684</v>
      </c>
      <c r="AD339" s="69"/>
      <c r="AE339" s="71">
        <v>175000</v>
      </c>
      <c r="AF339" s="69"/>
      <c r="AG339" s="3" t="str">
        <f>B339&amp;C339</f>
        <v>RoxanNasiri</v>
      </c>
      <c r="AH339" s="3" t="str">
        <f>VLOOKUP($AG339,[1]Sheet8!$B:$G,1,0)</f>
        <v>ROXANNASIRI</v>
      </c>
      <c r="AI339" s="3" t="str">
        <f>VLOOKUP($AG339,[1]Sheet8!$B:$G,4,0)</f>
        <v>EE</v>
      </c>
      <c r="AJ339" s="3" t="str">
        <f>VLOOKUP($AG339,[1]Sheet8!$B:$G,5,0)</f>
        <v>L093530003</v>
      </c>
      <c r="AK339" s="3">
        <f>VLOOKUP($AG339,[1]Sheet8!$B:$G,6,0)</f>
        <v>8.22</v>
      </c>
      <c r="AL339" s="3" t="s">
        <v>53</v>
      </c>
      <c r="AM339" s="3" t="s">
        <v>57</v>
      </c>
      <c r="AN339" s="3">
        <v>1235.83</v>
      </c>
      <c r="AO339" s="3" t="s">
        <v>53</v>
      </c>
      <c r="AP339" s="3" t="s">
        <v>59</v>
      </c>
      <c r="AQ339" s="3">
        <v>42.39</v>
      </c>
      <c r="AR339" s="3" t="s">
        <v>53</v>
      </c>
      <c r="AS339" s="3" t="s">
        <v>60</v>
      </c>
      <c r="AT339" s="3">
        <v>8.22</v>
      </c>
    </row>
    <row r="340" s="3" customFormat="1" ht="15" customHeight="1" spans="1:46">
      <c r="A340" s="60">
        <v>315</v>
      </c>
      <c r="B340" s="61" t="s">
        <v>685</v>
      </c>
      <c r="C340" s="61" t="s">
        <v>686</v>
      </c>
      <c r="D340" s="61" t="s">
        <v>67</v>
      </c>
      <c r="E340" s="62">
        <v>29005</v>
      </c>
      <c r="F340" s="61">
        <v>94066</v>
      </c>
      <c r="G340" s="61" t="s">
        <v>53</v>
      </c>
      <c r="H340" s="63" t="s">
        <v>54</v>
      </c>
      <c r="I340" s="64" t="s">
        <v>53</v>
      </c>
      <c r="J340" s="63" t="s">
        <v>56</v>
      </c>
      <c r="K340" s="65" t="s">
        <v>57</v>
      </c>
      <c r="L340" s="66">
        <v>1235.83</v>
      </c>
      <c r="M340" s="67" t="s">
        <v>53</v>
      </c>
      <c r="N340" s="67" t="s">
        <v>59</v>
      </c>
      <c r="O340" s="67">
        <v>42.39</v>
      </c>
      <c r="P340" s="68" t="s">
        <v>53</v>
      </c>
      <c r="Q340" s="67" t="s">
        <v>60</v>
      </c>
      <c r="R340" s="67">
        <v>8.22</v>
      </c>
      <c r="S340" s="69" t="s">
        <v>61</v>
      </c>
      <c r="T340" s="69">
        <v>188000</v>
      </c>
      <c r="U340" s="69"/>
      <c r="V340" s="69" t="s">
        <v>62</v>
      </c>
      <c r="W340" s="69">
        <v>5220.21</v>
      </c>
      <c r="X340" s="69"/>
      <c r="Y340" s="69" t="s">
        <v>63</v>
      </c>
      <c r="Z340" s="69">
        <v>1084</v>
      </c>
      <c r="AA340" s="69"/>
      <c r="AB340" s="70"/>
      <c r="AC340" s="69" t="s">
        <v>687</v>
      </c>
      <c r="AD340" s="69"/>
      <c r="AE340" s="71">
        <v>97247</v>
      </c>
      <c r="AF340" s="69"/>
      <c r="AG340" s="3" t="str">
        <f>B340&amp;C340</f>
        <v>JerrodNelson</v>
      </c>
      <c r="AH340" s="3" t="str">
        <f>VLOOKUP($AG340,[1]Sheet8!$B:$G,1,0)</f>
        <v>JERRODNELSON</v>
      </c>
      <c r="AI340" s="3" t="str">
        <f>VLOOKUP($AG340,[1]Sheet8!$B:$G,4,0)</f>
        <v>EE</v>
      </c>
      <c r="AJ340" s="3" t="str">
        <f>VLOOKUP($AG340,[1]Sheet8!$B:$G,5,0)</f>
        <v>L093530003</v>
      </c>
      <c r="AK340" s="3">
        <f>VLOOKUP($AG340,[1]Sheet8!$B:$G,6,0)</f>
        <v>8.22</v>
      </c>
      <c r="AL340" s="3" t="s">
        <v>53</v>
      </c>
      <c r="AM340" s="3" t="s">
        <v>57</v>
      </c>
      <c r="AN340" s="3">
        <v>1235.83</v>
      </c>
      <c r="AO340" s="3" t="s">
        <v>53</v>
      </c>
      <c r="AP340" s="3" t="s">
        <v>59</v>
      </c>
      <c r="AQ340" s="3">
        <v>42.39</v>
      </c>
      <c r="AR340" s="3" t="s">
        <v>53</v>
      </c>
      <c r="AS340" s="3" t="s">
        <v>60</v>
      </c>
      <c r="AT340" s="3">
        <v>8.22</v>
      </c>
    </row>
    <row r="341" s="3" customFormat="1" ht="15" customHeight="1" spans="1:46">
      <c r="A341" s="60">
        <v>316</v>
      </c>
      <c r="B341" s="61" t="s">
        <v>69</v>
      </c>
      <c r="C341" s="61" t="s">
        <v>688</v>
      </c>
      <c r="D341" s="61" t="s">
        <v>67</v>
      </c>
      <c r="E341" s="62">
        <v>35865</v>
      </c>
      <c r="F341" s="61">
        <v>11776</v>
      </c>
      <c r="G341" s="61" t="s">
        <v>53</v>
      </c>
      <c r="H341" s="63" t="s">
        <v>54</v>
      </c>
      <c r="I341" s="64" t="s">
        <v>53</v>
      </c>
      <c r="J341" s="63" t="s">
        <v>56</v>
      </c>
      <c r="K341" s="65" t="s">
        <v>57</v>
      </c>
      <c r="L341" s="66">
        <v>1235.83</v>
      </c>
      <c r="M341" s="67" t="s">
        <v>53</v>
      </c>
      <c r="N341" s="67" t="s">
        <v>59</v>
      </c>
      <c r="O341" s="67">
        <v>42.39</v>
      </c>
      <c r="P341" s="68" t="s">
        <v>53</v>
      </c>
      <c r="Q341" s="67" t="s">
        <v>60</v>
      </c>
      <c r="R341" s="67">
        <v>8.22</v>
      </c>
      <c r="S341" s="69" t="s">
        <v>61</v>
      </c>
      <c r="T341" s="69">
        <v>159000</v>
      </c>
      <c r="U341" s="69"/>
      <c r="V341" s="69" t="s">
        <v>62</v>
      </c>
      <c r="W341" s="69">
        <v>4391.89</v>
      </c>
      <c r="X341" s="69"/>
      <c r="Y341" s="69" t="s">
        <v>63</v>
      </c>
      <c r="Z341" s="69">
        <v>912</v>
      </c>
      <c r="AA341" s="69"/>
      <c r="AB341" s="70"/>
      <c r="AC341" s="69" t="s">
        <v>689</v>
      </c>
      <c r="AD341" s="69"/>
      <c r="AE341" s="71">
        <v>88354.51</v>
      </c>
      <c r="AF341" s="69"/>
      <c r="AG341" s="3" t="str">
        <f t="shared" ref="AG341:AG347" si="13">B341&amp;C341</f>
        <v>JohnNewell</v>
      </c>
      <c r="AH341" s="3" t="str">
        <f>VLOOKUP($AG341,[1]Sheet8!$B:$G,1,0)</f>
        <v>JOHNNEWELL</v>
      </c>
      <c r="AI341" s="3" t="str">
        <f>VLOOKUP($AG341,[1]Sheet8!$B:$G,4,0)</f>
        <v>EE</v>
      </c>
      <c r="AJ341" s="3" t="str">
        <f>VLOOKUP($AG341,[1]Sheet8!$B:$G,5,0)</f>
        <v>L093530003</v>
      </c>
      <c r="AK341" s="3">
        <f>VLOOKUP($AG341,[1]Sheet8!$B:$G,6,0)</f>
        <v>8.22</v>
      </c>
      <c r="AL341" s="3" t="s">
        <v>53</v>
      </c>
      <c r="AM341" s="3" t="s">
        <v>57</v>
      </c>
      <c r="AN341" s="3">
        <v>1235.83</v>
      </c>
      <c r="AO341" s="3" t="s">
        <v>53</v>
      </c>
      <c r="AP341" s="3" t="s">
        <v>59</v>
      </c>
      <c r="AQ341" s="3">
        <v>42.39</v>
      </c>
      <c r="AR341" s="3" t="s">
        <v>53</v>
      </c>
      <c r="AS341" s="3" t="s">
        <v>60</v>
      </c>
      <c r="AT341" s="3">
        <v>8.22</v>
      </c>
    </row>
    <row r="342" s="3" customFormat="1" ht="15" customHeight="1" spans="1:46">
      <c r="A342" s="60">
        <v>317</v>
      </c>
      <c r="B342" s="61" t="s">
        <v>79</v>
      </c>
      <c r="C342" s="61" t="s">
        <v>690</v>
      </c>
      <c r="D342" s="61" t="s">
        <v>52</v>
      </c>
      <c r="E342" s="62">
        <v>36161</v>
      </c>
      <c r="F342" s="61">
        <v>94118</v>
      </c>
      <c r="G342" s="61" t="s">
        <v>53</v>
      </c>
      <c r="H342" s="63" t="s">
        <v>54</v>
      </c>
      <c r="I342" s="64" t="s">
        <v>53</v>
      </c>
      <c r="J342" s="63" t="s">
        <v>56</v>
      </c>
      <c r="K342" s="65" t="s">
        <v>57</v>
      </c>
      <c r="L342" s="66">
        <v>1235.83</v>
      </c>
      <c r="M342" s="67" t="s">
        <v>53</v>
      </c>
      <c r="N342" s="67" t="s">
        <v>59</v>
      </c>
      <c r="O342" s="67">
        <v>42.39</v>
      </c>
      <c r="P342" s="68" t="s">
        <v>53</v>
      </c>
      <c r="Q342" s="67" t="s">
        <v>60</v>
      </c>
      <c r="R342" s="67">
        <v>8.22</v>
      </c>
      <c r="S342" s="69" t="s">
        <v>61</v>
      </c>
      <c r="T342" s="69">
        <v>144000</v>
      </c>
      <c r="U342" s="69"/>
      <c r="V342" s="69" t="s">
        <v>62</v>
      </c>
      <c r="W342" s="69">
        <v>3975.37</v>
      </c>
      <c r="X342" s="69"/>
      <c r="Y342" s="69" t="s">
        <v>63</v>
      </c>
      <c r="Z342" s="69">
        <v>826</v>
      </c>
      <c r="AA342" s="69"/>
      <c r="AB342" s="70"/>
      <c r="AC342" s="69" t="s">
        <v>106</v>
      </c>
      <c r="AD342" s="69"/>
      <c r="AE342" s="71">
        <v>78122.01</v>
      </c>
      <c r="AF342" s="69"/>
      <c r="AG342" s="3" t="str">
        <f t="shared" si="13"/>
        <v>SaraNomburg</v>
      </c>
      <c r="AH342" s="3" t="str">
        <f>VLOOKUP($AG342,[1]Sheet8!$B:$G,1,0)</f>
        <v>SARANOMBURG</v>
      </c>
      <c r="AI342" s="3" t="str">
        <f>VLOOKUP($AG342,[1]Sheet8!$B:$G,4,0)</f>
        <v>EE</v>
      </c>
      <c r="AJ342" s="3" t="str">
        <f>VLOOKUP($AG342,[1]Sheet8!$B:$G,5,0)</f>
        <v>L093530003</v>
      </c>
      <c r="AK342" s="3">
        <f>VLOOKUP($AG342,[1]Sheet8!$B:$G,6,0)</f>
        <v>8.22</v>
      </c>
      <c r="AL342" s="3" t="s">
        <v>53</v>
      </c>
      <c r="AM342" s="3" t="s">
        <v>57</v>
      </c>
      <c r="AN342" s="3">
        <v>1235.83</v>
      </c>
      <c r="AO342" s="3" t="s">
        <v>53</v>
      </c>
      <c r="AP342" s="3" t="s">
        <v>59</v>
      </c>
      <c r="AQ342" s="3">
        <v>42.39</v>
      </c>
      <c r="AR342" s="3" t="s">
        <v>53</v>
      </c>
      <c r="AS342" s="3" t="s">
        <v>60</v>
      </c>
      <c r="AT342" s="3">
        <v>8.22</v>
      </c>
    </row>
    <row r="343" s="3" customFormat="1" ht="15" customHeight="1" spans="1:46">
      <c r="A343" s="60">
        <v>318</v>
      </c>
      <c r="B343" s="61" t="s">
        <v>691</v>
      </c>
      <c r="C343" s="61" t="s">
        <v>692</v>
      </c>
      <c r="D343" s="61" t="s">
        <v>52</v>
      </c>
      <c r="E343" s="62">
        <v>37850</v>
      </c>
      <c r="F343" s="61">
        <v>11221</v>
      </c>
      <c r="G343" s="61" t="s">
        <v>53</v>
      </c>
      <c r="H343" s="63" t="s">
        <v>54</v>
      </c>
      <c r="I343" s="64" t="s">
        <v>53</v>
      </c>
      <c r="J343" s="63" t="s">
        <v>56</v>
      </c>
      <c r="K343" s="65" t="s">
        <v>57</v>
      </c>
      <c r="L343" s="66">
        <v>1235.83</v>
      </c>
      <c r="M343" s="67" t="s">
        <v>53</v>
      </c>
      <c r="N343" s="67" t="s">
        <v>59</v>
      </c>
      <c r="O343" s="67">
        <v>42.39</v>
      </c>
      <c r="P343" s="68" t="s">
        <v>53</v>
      </c>
      <c r="Q343" s="67" t="s">
        <v>60</v>
      </c>
      <c r="R343" s="67">
        <v>8.22</v>
      </c>
      <c r="S343" s="69" t="s">
        <v>61</v>
      </c>
      <c r="T343" s="69">
        <v>129000</v>
      </c>
      <c r="U343" s="69"/>
      <c r="V343" s="69" t="s">
        <v>62</v>
      </c>
      <c r="W343" s="69">
        <v>3575.18</v>
      </c>
      <c r="X343" s="69"/>
      <c r="Y343" s="69" t="s">
        <v>63</v>
      </c>
      <c r="Z343" s="69">
        <v>743</v>
      </c>
      <c r="AA343" s="69"/>
      <c r="AB343" s="70"/>
      <c r="AC343" s="69" t="s">
        <v>138</v>
      </c>
      <c r="AD343" s="69"/>
      <c r="AE343" s="71">
        <v>64350</v>
      </c>
      <c r="AF343" s="69"/>
      <c r="AG343" s="3" t="str">
        <f t="shared" si="13"/>
        <v>ChideraOkechukwu</v>
      </c>
      <c r="AH343" s="3" t="str">
        <f>VLOOKUP($AG343,[1]Sheet8!$B:$G,1,0)</f>
        <v>CHIDERAOKECHUKWU</v>
      </c>
      <c r="AI343" s="3" t="str">
        <f>VLOOKUP($AG343,[1]Sheet8!$B:$G,4,0)</f>
        <v>EE</v>
      </c>
      <c r="AJ343" s="3" t="str">
        <f>VLOOKUP($AG343,[1]Sheet8!$B:$G,5,0)</f>
        <v>L093530003</v>
      </c>
      <c r="AK343" s="3">
        <f>VLOOKUP($AG343,[1]Sheet8!$B:$G,6,0)</f>
        <v>8.22</v>
      </c>
      <c r="AL343" s="3" t="s">
        <v>53</v>
      </c>
      <c r="AM343" s="3" t="s">
        <v>57</v>
      </c>
      <c r="AN343" s="3">
        <v>1235.83</v>
      </c>
      <c r="AO343" s="3" t="s">
        <v>53</v>
      </c>
      <c r="AP343" s="3" t="s">
        <v>59</v>
      </c>
      <c r="AQ343" s="3">
        <v>42.39</v>
      </c>
      <c r="AR343" s="3" t="s">
        <v>53</v>
      </c>
      <c r="AS343" s="3" t="s">
        <v>60</v>
      </c>
      <c r="AT343" s="3">
        <v>8.22</v>
      </c>
    </row>
    <row r="344" s="3" customFormat="1" ht="15" customHeight="1" spans="1:46">
      <c r="A344" s="60">
        <v>319</v>
      </c>
      <c r="B344" s="61" t="s">
        <v>693</v>
      </c>
      <c r="C344" s="61" t="s">
        <v>115</v>
      </c>
      <c r="D344" s="61" t="s">
        <v>67</v>
      </c>
      <c r="E344" s="62">
        <v>35409</v>
      </c>
      <c r="F344" s="61">
        <v>10128</v>
      </c>
      <c r="G344" s="61" t="s">
        <v>53</v>
      </c>
      <c r="H344" s="63" t="s">
        <v>54</v>
      </c>
      <c r="I344" s="64" t="s">
        <v>53</v>
      </c>
      <c r="J344" s="63" t="s">
        <v>56</v>
      </c>
      <c r="K344" s="65" t="s">
        <v>57</v>
      </c>
      <c r="L344" s="66">
        <v>1235.83</v>
      </c>
      <c r="M344" s="67" t="s">
        <v>53</v>
      </c>
      <c r="N344" s="67" t="s">
        <v>59</v>
      </c>
      <c r="O344" s="67">
        <v>42.39</v>
      </c>
      <c r="P344" s="68"/>
      <c r="Q344" s="67"/>
      <c r="R344" s="67"/>
      <c r="S344" s="69" t="s">
        <v>61</v>
      </c>
      <c r="T344" s="69">
        <v>157000</v>
      </c>
      <c r="U344" s="69"/>
      <c r="V344" s="69" t="s">
        <v>62</v>
      </c>
      <c r="W344" s="69">
        <v>4351.88</v>
      </c>
      <c r="X344" s="69"/>
      <c r="Y344" s="69" t="s">
        <v>63</v>
      </c>
      <c r="Z344" s="69">
        <v>904</v>
      </c>
      <c r="AA344" s="69"/>
      <c r="AB344" s="70"/>
      <c r="AC344" s="69" t="s">
        <v>201</v>
      </c>
      <c r="AD344" s="69"/>
      <c r="AE344" s="71">
        <v>80680</v>
      </c>
      <c r="AF344" s="69"/>
      <c r="AG344" s="3" t="str">
        <f t="shared" si="13"/>
        <v>KarimOliver</v>
      </c>
      <c r="AH344" s="3" t="e">
        <f>VLOOKUP($AG344,[1]Sheet8!$B:$G,1,0)</f>
        <v>#N/A</v>
      </c>
      <c r="AI344" s="3" t="e">
        <f>VLOOKUP($AG344,[1]Sheet8!$B:$G,4,0)</f>
        <v>#N/A</v>
      </c>
      <c r="AJ344" s="3" t="e">
        <f>VLOOKUP($AG344,[1]Sheet8!$B:$G,5,0)</f>
        <v>#N/A</v>
      </c>
      <c r="AK344" s="3" t="e">
        <f>VLOOKUP($AG344,[1]Sheet8!$B:$G,6,0)</f>
        <v>#N/A</v>
      </c>
      <c r="AL344" s="3" t="s">
        <v>53</v>
      </c>
      <c r="AM344" s="3" t="s">
        <v>57</v>
      </c>
      <c r="AN344" s="3">
        <v>1235.83</v>
      </c>
      <c r="AO344" s="3" t="s">
        <v>53</v>
      </c>
      <c r="AP344" s="3" t="s">
        <v>59</v>
      </c>
      <c r="AQ344" s="3">
        <v>42.39</v>
      </c>
    </row>
    <row r="345" s="3" customFormat="1" ht="15" customHeight="1" spans="1:46">
      <c r="A345" s="60">
        <v>320</v>
      </c>
      <c r="B345" s="61" t="s">
        <v>694</v>
      </c>
      <c r="C345" s="61" t="s">
        <v>695</v>
      </c>
      <c r="D345" s="61" t="s">
        <v>52</v>
      </c>
      <c r="E345" s="62">
        <v>36976</v>
      </c>
      <c r="F345" s="61">
        <v>91106</v>
      </c>
      <c r="G345" s="61" t="s">
        <v>53</v>
      </c>
      <c r="H345" s="63" t="s">
        <v>54</v>
      </c>
      <c r="I345" s="64" t="s">
        <v>119</v>
      </c>
      <c r="J345" s="63" t="s">
        <v>56</v>
      </c>
      <c r="K345" s="65"/>
      <c r="L345" s="66"/>
      <c r="M345" s="67"/>
      <c r="N345" s="67"/>
      <c r="O345" s="67"/>
      <c r="P345" s="68"/>
      <c r="Q345" s="67"/>
      <c r="R345" s="67"/>
      <c r="S345" s="69" t="s">
        <v>61</v>
      </c>
      <c r="T345" s="69">
        <v>150000</v>
      </c>
      <c r="U345" s="69"/>
      <c r="V345" s="69" t="s">
        <v>62</v>
      </c>
      <c r="W345" s="69">
        <v>4166.88</v>
      </c>
      <c r="X345" s="69"/>
      <c r="Y345" s="69" t="s">
        <v>63</v>
      </c>
      <c r="Z345" s="69">
        <v>865</v>
      </c>
      <c r="AA345" s="69"/>
      <c r="AB345" s="70"/>
      <c r="AC345" s="69" t="s">
        <v>144</v>
      </c>
      <c r="AD345" s="69"/>
      <c r="AE345" s="71">
        <v>90000</v>
      </c>
      <c r="AF345" s="69"/>
      <c r="AG345" s="3" t="str">
        <f t="shared" si="13"/>
        <v>EllenOng</v>
      </c>
      <c r="AH345" s="3" t="e">
        <f>VLOOKUP($AG345,[1]Sheet8!$B:$G,1,0)</f>
        <v>#N/A</v>
      </c>
      <c r="AI345" s="3" t="e">
        <f>VLOOKUP($AG345,[1]Sheet8!$B:$G,4,0)</f>
        <v>#N/A</v>
      </c>
      <c r="AJ345" s="3" t="e">
        <f>VLOOKUP($AG345,[1]Sheet8!$B:$G,5,0)</f>
        <v>#N/A</v>
      </c>
      <c r="AK345" s="3" t="e">
        <f>VLOOKUP($AG345,[1]Sheet8!$B:$G,6,0)</f>
        <v>#N/A</v>
      </c>
    </row>
    <row r="346" s="3" customFormat="1" ht="15" customHeight="1" spans="1:46">
      <c r="A346" s="60">
        <v>321</v>
      </c>
      <c r="B346" s="61" t="s">
        <v>696</v>
      </c>
      <c r="C346" s="61" t="s">
        <v>697</v>
      </c>
      <c r="D346" s="61" t="s">
        <v>52</v>
      </c>
      <c r="E346" s="62">
        <v>33785</v>
      </c>
      <c r="F346" s="61">
        <v>78741</v>
      </c>
      <c r="G346" s="61" t="s">
        <v>53</v>
      </c>
      <c r="H346" s="63" t="s">
        <v>54</v>
      </c>
      <c r="I346" s="64" t="s">
        <v>53</v>
      </c>
      <c r="J346" s="63" t="s">
        <v>56</v>
      </c>
      <c r="K346" s="65" t="s">
        <v>57</v>
      </c>
      <c r="L346" s="66">
        <v>1235.83</v>
      </c>
      <c r="M346" s="67" t="s">
        <v>53</v>
      </c>
      <c r="N346" s="67" t="s">
        <v>59</v>
      </c>
      <c r="O346" s="67">
        <v>42.39</v>
      </c>
      <c r="P346" s="68" t="s">
        <v>53</v>
      </c>
      <c r="Q346" s="67" t="s">
        <v>60</v>
      </c>
      <c r="R346" s="67">
        <v>8.22</v>
      </c>
      <c r="S346" s="69" t="s">
        <v>61</v>
      </c>
      <c r="T346" s="69">
        <v>250000</v>
      </c>
      <c r="U346" s="69"/>
      <c r="V346" s="69" t="s">
        <v>62</v>
      </c>
      <c r="W346" s="69">
        <v>7453.04</v>
      </c>
      <c r="X346" s="69"/>
      <c r="Y346" s="69" t="s">
        <v>63</v>
      </c>
      <c r="Z346" s="69">
        <v>1548</v>
      </c>
      <c r="AA346" s="69"/>
      <c r="AB346" s="70"/>
      <c r="AC346" s="69" t="s">
        <v>698</v>
      </c>
      <c r="AD346" s="69"/>
      <c r="AE346" s="71">
        <v>138173</v>
      </c>
      <c r="AF346" s="69"/>
      <c r="AG346" s="3" t="str">
        <f t="shared" si="13"/>
        <v>TaylorOrth</v>
      </c>
      <c r="AH346" s="3" t="str">
        <f>VLOOKUP($AG346,[1]Sheet8!$B:$G,1,0)</f>
        <v>TAYLORORTH</v>
      </c>
      <c r="AI346" s="3" t="str">
        <f>VLOOKUP($AG346,[1]Sheet8!$B:$G,4,0)</f>
        <v>EE</v>
      </c>
      <c r="AJ346" s="3" t="str">
        <f>VLOOKUP($AG346,[1]Sheet8!$B:$G,5,0)</f>
        <v>L093530003</v>
      </c>
      <c r="AK346" s="3">
        <f>VLOOKUP($AG346,[1]Sheet8!$B:$G,6,0)</f>
        <v>8.22</v>
      </c>
      <c r="AL346" s="3" t="s">
        <v>53</v>
      </c>
      <c r="AM346" s="3" t="s">
        <v>57</v>
      </c>
      <c r="AN346" s="3">
        <v>1235.83</v>
      </c>
      <c r="AO346" s="3" t="s">
        <v>53</v>
      </c>
      <c r="AP346" s="3" t="s">
        <v>59</v>
      </c>
      <c r="AQ346" s="3">
        <v>42.39</v>
      </c>
      <c r="AR346" s="3" t="s">
        <v>53</v>
      </c>
      <c r="AS346" s="3" t="s">
        <v>60</v>
      </c>
      <c r="AT346" s="3">
        <v>8.22</v>
      </c>
    </row>
    <row r="347" s="3" customFormat="1" ht="15" customHeight="1" spans="1:46">
      <c r="A347" s="60">
        <v>322</v>
      </c>
      <c r="B347" s="61" t="s">
        <v>486</v>
      </c>
      <c r="C347" s="61" t="s">
        <v>699</v>
      </c>
      <c r="D347" s="61" t="s">
        <v>67</v>
      </c>
      <c r="E347" s="62">
        <v>35493</v>
      </c>
      <c r="F347" s="61">
        <v>93612</v>
      </c>
      <c r="G347" s="61" t="s">
        <v>53</v>
      </c>
      <c r="H347" s="63" t="s">
        <v>54</v>
      </c>
      <c r="I347" s="64" t="s">
        <v>81</v>
      </c>
      <c r="J347" s="63" t="s">
        <v>56</v>
      </c>
      <c r="K347" s="65" t="s">
        <v>82</v>
      </c>
      <c r="L347" s="66">
        <v>1719.95</v>
      </c>
      <c r="M347" s="67" t="s">
        <v>81</v>
      </c>
      <c r="N347" s="67" t="s">
        <v>59</v>
      </c>
      <c r="O347" s="67">
        <v>84.72</v>
      </c>
      <c r="P347" s="68" t="s">
        <v>81</v>
      </c>
      <c r="Q347" s="67" t="s">
        <v>60</v>
      </c>
      <c r="R347" s="67">
        <v>16.48</v>
      </c>
      <c r="S347" s="69" t="s">
        <v>61</v>
      </c>
      <c r="T347" s="69">
        <v>138000</v>
      </c>
      <c r="U347" s="69"/>
      <c r="V347" s="69" t="s">
        <v>62</v>
      </c>
      <c r="W347" s="69">
        <v>3813.52</v>
      </c>
      <c r="X347" s="69"/>
      <c r="Y347" s="69" t="s">
        <v>63</v>
      </c>
      <c r="Z347" s="69">
        <v>792</v>
      </c>
      <c r="AA347" s="69"/>
      <c r="AB347" s="70"/>
      <c r="AC347" s="69" t="s">
        <v>165</v>
      </c>
      <c r="AD347" s="69"/>
      <c r="AE347" s="71">
        <v>70699</v>
      </c>
      <c r="AF347" s="69"/>
      <c r="AG347" s="3" t="str">
        <f t="shared" si="13"/>
        <v>WilliamOswald</v>
      </c>
      <c r="AH347" s="3" t="str">
        <f>VLOOKUP($AG347,[1]Sheet8!$B:$G,1,0)</f>
        <v>WILLIAMOSWALD</v>
      </c>
      <c r="AI347" s="3" t="str">
        <f>VLOOKUP($AG347,[1]Sheet8!$B:$G,4,0)</f>
        <v>ES</v>
      </c>
      <c r="AJ347" s="3" t="str">
        <f>VLOOKUP($AG347,[1]Sheet8!$B:$G,5,0)</f>
        <v>L093530003</v>
      </c>
      <c r="AK347" s="3">
        <f>VLOOKUP($AG347,[1]Sheet8!$B:$G,6,0)</f>
        <v>16.48</v>
      </c>
      <c r="AL347" s="3" t="s">
        <v>81</v>
      </c>
      <c r="AM347" s="3" t="s">
        <v>82</v>
      </c>
      <c r="AN347" s="3">
        <v>1719.95</v>
      </c>
      <c r="AO347" s="3" t="s">
        <v>81</v>
      </c>
      <c r="AP347" s="3" t="s">
        <v>59</v>
      </c>
      <c r="AQ347" s="3">
        <v>84.72</v>
      </c>
      <c r="AR347" s="3" t="s">
        <v>81</v>
      </c>
      <c r="AS347" s="3" t="s">
        <v>60</v>
      </c>
      <c r="AT347" s="3">
        <v>16.48</v>
      </c>
    </row>
    <row r="348" s="3" customFormat="1" ht="15" customHeight="1" spans="1:46">
      <c r="A348" s="60">
        <v>323</v>
      </c>
      <c r="B348" s="61" t="s">
        <v>277</v>
      </c>
      <c r="C348" s="61" t="s">
        <v>700</v>
      </c>
      <c r="D348" s="61" t="s">
        <v>52</v>
      </c>
      <c r="E348" s="62">
        <v>36438</v>
      </c>
      <c r="F348" s="61">
        <v>93612</v>
      </c>
      <c r="G348" s="61" t="s">
        <v>85</v>
      </c>
      <c r="H348" s="63">
        <v>322</v>
      </c>
      <c r="I348" s="64" t="s">
        <v>81</v>
      </c>
      <c r="J348" s="63" t="s">
        <v>56</v>
      </c>
      <c r="K348" s="65"/>
      <c r="L348" s="66"/>
      <c r="M348" s="67"/>
      <c r="N348" s="67"/>
      <c r="O348" s="67"/>
      <c r="P348" s="68"/>
      <c r="Q348" s="67"/>
      <c r="R348" s="67"/>
      <c r="S348" s="69"/>
      <c r="T348" s="69"/>
      <c r="U348" s="69"/>
      <c r="V348" s="69"/>
      <c r="W348" s="69"/>
      <c r="X348" s="69"/>
      <c r="Y348" s="69"/>
      <c r="Z348" s="69"/>
      <c r="AA348" s="69"/>
      <c r="AB348" s="70"/>
      <c r="AC348" s="69"/>
      <c r="AD348" s="69"/>
      <c r="AE348" s="71"/>
      <c r="AF348" s="69"/>
    </row>
    <row r="349" s="3" customFormat="1" ht="15" customHeight="1" spans="1:46">
      <c r="A349" s="60">
        <v>324</v>
      </c>
      <c r="B349" s="61" t="s">
        <v>249</v>
      </c>
      <c r="C349" s="61" t="s">
        <v>701</v>
      </c>
      <c r="D349" s="61" t="s">
        <v>52</v>
      </c>
      <c r="E349" s="62">
        <v>37923</v>
      </c>
      <c r="F349" s="61">
        <v>80304</v>
      </c>
      <c r="G349" s="61" t="s">
        <v>53</v>
      </c>
      <c r="H349" s="63" t="s">
        <v>54</v>
      </c>
      <c r="I349" s="64" t="s">
        <v>53</v>
      </c>
      <c r="J349" s="63" t="s">
        <v>56</v>
      </c>
      <c r="K349" s="65" t="s">
        <v>82</v>
      </c>
      <c r="L349" s="66">
        <v>781.79</v>
      </c>
      <c r="M349" s="67" t="s">
        <v>53</v>
      </c>
      <c r="N349" s="67" t="s">
        <v>59</v>
      </c>
      <c r="O349" s="67">
        <v>42.39</v>
      </c>
      <c r="P349" s="68" t="s">
        <v>53</v>
      </c>
      <c r="Q349" s="67" t="s">
        <v>60</v>
      </c>
      <c r="R349" s="67">
        <v>8.22</v>
      </c>
      <c r="S349" s="69" t="s">
        <v>61</v>
      </c>
      <c r="T349" s="69">
        <v>158000</v>
      </c>
      <c r="U349" s="69"/>
      <c r="V349" s="69" t="s">
        <v>62</v>
      </c>
      <c r="W349" s="69">
        <v>4389.11</v>
      </c>
      <c r="X349" s="69"/>
      <c r="Y349" s="69" t="s">
        <v>63</v>
      </c>
      <c r="Z349" s="69">
        <v>912</v>
      </c>
      <c r="AA349" s="69"/>
      <c r="AB349" s="70"/>
      <c r="AC349" s="69" t="s">
        <v>702</v>
      </c>
      <c r="AD349" s="69"/>
      <c r="AE349" s="71">
        <v>79000</v>
      </c>
      <c r="AF349" s="69"/>
      <c r="AG349" s="3" t="str">
        <f>B349&amp;C349</f>
        <v>LauraPacheco</v>
      </c>
      <c r="AH349" s="3" t="str">
        <f>VLOOKUP($AG349,[1]Sheet8!$B:$G,1,0)</f>
        <v>LAURAPACHECO</v>
      </c>
      <c r="AI349" s="3" t="str">
        <f>VLOOKUP($AG349,[1]Sheet8!$B:$G,4,0)</f>
        <v>EE</v>
      </c>
      <c r="AJ349" s="3" t="str">
        <f>VLOOKUP($AG349,[1]Sheet8!$B:$G,5,0)</f>
        <v>L093530003</v>
      </c>
      <c r="AK349" s="3">
        <f>VLOOKUP($AG349,[1]Sheet8!$B:$G,6,0)</f>
        <v>8.22</v>
      </c>
      <c r="AL349" s="3" t="s">
        <v>53</v>
      </c>
      <c r="AM349" s="3" t="s">
        <v>82</v>
      </c>
      <c r="AN349" s="3">
        <v>781.79</v>
      </c>
      <c r="AO349" s="3" t="s">
        <v>53</v>
      </c>
      <c r="AP349" s="3" t="s">
        <v>59</v>
      </c>
      <c r="AQ349" s="3">
        <v>42.39</v>
      </c>
      <c r="AR349" s="3" t="s">
        <v>53</v>
      </c>
      <c r="AS349" s="3" t="s">
        <v>60</v>
      </c>
      <c r="AT349" s="3">
        <v>8.22</v>
      </c>
    </row>
    <row r="350" s="3" customFormat="1" ht="15" customHeight="1" spans="1:46">
      <c r="A350" s="60">
        <v>325</v>
      </c>
      <c r="B350" s="61" t="s">
        <v>703</v>
      </c>
      <c r="C350" s="61" t="s">
        <v>701</v>
      </c>
      <c r="D350" s="61" t="s">
        <v>52</v>
      </c>
      <c r="E350" s="62">
        <v>35959</v>
      </c>
      <c r="F350" s="61">
        <v>33185</v>
      </c>
      <c r="G350" s="61" t="s">
        <v>53</v>
      </c>
      <c r="H350" s="63" t="s">
        <v>54</v>
      </c>
      <c r="I350" s="64" t="s">
        <v>53</v>
      </c>
      <c r="J350" s="63" t="s">
        <v>56</v>
      </c>
      <c r="K350" s="65" t="s">
        <v>57</v>
      </c>
      <c r="L350" s="66">
        <v>1235.83</v>
      </c>
      <c r="M350" s="67" t="s">
        <v>53</v>
      </c>
      <c r="N350" s="67" t="s">
        <v>59</v>
      </c>
      <c r="O350" s="67">
        <v>42.39</v>
      </c>
      <c r="P350" s="68"/>
      <c r="Q350" s="67"/>
      <c r="R350" s="67"/>
      <c r="S350" s="69" t="s">
        <v>61</v>
      </c>
      <c r="T350" s="69">
        <v>165000</v>
      </c>
      <c r="U350" s="69"/>
      <c r="V350" s="69" t="s">
        <v>62</v>
      </c>
      <c r="W350" s="69">
        <v>4569.51</v>
      </c>
      <c r="X350" s="69"/>
      <c r="Y350" s="69" t="s">
        <v>63</v>
      </c>
      <c r="Z350" s="69">
        <v>949</v>
      </c>
      <c r="AA350" s="69"/>
      <c r="AB350" s="70"/>
      <c r="AC350" s="69" t="s">
        <v>704</v>
      </c>
      <c r="AD350" s="69"/>
      <c r="AE350" s="71">
        <v>91000</v>
      </c>
      <c r="AF350" s="69"/>
      <c r="AG350" s="3" t="str">
        <f>B350&amp;C350</f>
        <v>AlessandraPacheco</v>
      </c>
      <c r="AH350" s="3" t="e">
        <f>VLOOKUP($AG350,[1]Sheet8!$B:$G,1,0)</f>
        <v>#N/A</v>
      </c>
      <c r="AI350" s="3" t="e">
        <f>VLOOKUP($AG350,[1]Sheet8!$B:$G,4,0)</f>
        <v>#N/A</v>
      </c>
      <c r="AJ350" s="3" t="e">
        <f>VLOOKUP($AG350,[1]Sheet8!$B:$G,5,0)</f>
        <v>#N/A</v>
      </c>
      <c r="AK350" s="3" t="e">
        <f>VLOOKUP($AG350,[1]Sheet8!$B:$G,6,0)</f>
        <v>#N/A</v>
      </c>
      <c r="AL350" s="3" t="s">
        <v>53</v>
      </c>
      <c r="AM350" s="3" t="s">
        <v>57</v>
      </c>
      <c r="AN350" s="3">
        <v>1235.83</v>
      </c>
      <c r="AO350" s="3" t="s">
        <v>53</v>
      </c>
      <c r="AP350" s="3" t="s">
        <v>59</v>
      </c>
      <c r="AQ350" s="3">
        <v>42.39</v>
      </c>
    </row>
    <row r="351" s="3" customFormat="1" ht="15" customHeight="1" spans="1:46">
      <c r="A351" s="60">
        <v>326</v>
      </c>
      <c r="B351" s="61" t="s">
        <v>705</v>
      </c>
      <c r="C351" s="61" t="s">
        <v>706</v>
      </c>
      <c r="D351" s="61" t="s">
        <v>67</v>
      </c>
      <c r="E351" s="62">
        <v>33061</v>
      </c>
      <c r="F351" s="61">
        <v>11217</v>
      </c>
      <c r="G351" s="61" t="s">
        <v>53</v>
      </c>
      <c r="H351" s="63" t="s">
        <v>54</v>
      </c>
      <c r="I351" s="64" t="s">
        <v>55</v>
      </c>
      <c r="J351" s="63" t="s">
        <v>56</v>
      </c>
      <c r="K351" s="65" t="s">
        <v>57</v>
      </c>
      <c r="L351" s="66">
        <v>2224.48</v>
      </c>
      <c r="M351" s="67" t="s">
        <v>81</v>
      </c>
      <c r="N351" s="67" t="s">
        <v>59</v>
      </c>
      <c r="O351" s="67">
        <v>84.72</v>
      </c>
      <c r="P351" s="68" t="s">
        <v>55</v>
      </c>
      <c r="Q351" s="67" t="s">
        <v>60</v>
      </c>
      <c r="R351" s="67">
        <v>13.95</v>
      </c>
      <c r="S351" s="69" t="s">
        <v>61</v>
      </c>
      <c r="T351" s="69">
        <v>250000</v>
      </c>
      <c r="U351" s="69"/>
      <c r="V351" s="69" t="s">
        <v>62</v>
      </c>
      <c r="W351" s="69">
        <v>8124.91</v>
      </c>
      <c r="X351" s="69"/>
      <c r="Y351" s="69" t="s">
        <v>63</v>
      </c>
      <c r="Z351" s="69">
        <v>1687</v>
      </c>
      <c r="AA351" s="69"/>
      <c r="AB351" s="70"/>
      <c r="AC351" s="69" t="s">
        <v>707</v>
      </c>
      <c r="AD351" s="69"/>
      <c r="AE351" s="71">
        <v>175000</v>
      </c>
      <c r="AF351" s="69"/>
      <c r="AG351" s="3" t="str">
        <f>B351&amp;C351</f>
        <v>BenjaminParo</v>
      </c>
      <c r="AH351" s="3" t="str">
        <f>VLOOKUP($AG351,[1]Sheet8!$B:$G,1,0)</f>
        <v>BENJAMINPARO</v>
      </c>
      <c r="AI351" s="3" t="str">
        <f>VLOOKUP($AG351,[1]Sheet8!$B:$G,4,0)</f>
        <v>EC</v>
      </c>
      <c r="AJ351" s="3" t="str">
        <f>VLOOKUP($AG351,[1]Sheet8!$B:$G,5,0)</f>
        <v>L093530003</v>
      </c>
      <c r="AK351" s="3">
        <f>VLOOKUP($AG351,[1]Sheet8!$B:$G,6,0)</f>
        <v>13.95</v>
      </c>
      <c r="AL351" s="3" t="s">
        <v>55</v>
      </c>
      <c r="AM351" s="3" t="s">
        <v>57</v>
      </c>
      <c r="AN351" s="3">
        <v>2224.48</v>
      </c>
      <c r="AO351" s="3" t="s">
        <v>81</v>
      </c>
      <c r="AP351" s="3" t="s">
        <v>59</v>
      </c>
      <c r="AQ351" s="3">
        <v>84.72</v>
      </c>
      <c r="AR351" s="3" t="s">
        <v>55</v>
      </c>
      <c r="AS351" s="3" t="s">
        <v>60</v>
      </c>
      <c r="AT351" s="3">
        <v>13.95</v>
      </c>
    </row>
    <row r="352" s="3" customFormat="1" ht="15" customHeight="1" spans="1:46">
      <c r="A352" s="60">
        <v>327</v>
      </c>
      <c r="B352" s="61" t="s">
        <v>708</v>
      </c>
      <c r="C352" s="61" t="s">
        <v>706</v>
      </c>
      <c r="D352" s="61" t="s">
        <v>67</v>
      </c>
      <c r="E352" s="62">
        <v>46148</v>
      </c>
      <c r="F352" s="61">
        <v>11217</v>
      </c>
      <c r="G352" s="61" t="s">
        <v>68</v>
      </c>
      <c r="H352" s="63">
        <v>326</v>
      </c>
      <c r="I352" s="64" t="s">
        <v>55</v>
      </c>
      <c r="J352" s="63" t="s">
        <v>56</v>
      </c>
      <c r="K352" s="65"/>
      <c r="L352" s="66"/>
      <c r="M352" s="67"/>
      <c r="N352" s="67"/>
      <c r="O352" s="67"/>
      <c r="P352" s="68"/>
      <c r="Q352" s="67"/>
      <c r="R352" s="67"/>
      <c r="S352" s="69"/>
      <c r="T352" s="69"/>
      <c r="U352" s="69"/>
      <c r="V352" s="69"/>
      <c r="W352" s="69"/>
      <c r="X352" s="69"/>
      <c r="Y352" s="69"/>
      <c r="Z352" s="69"/>
      <c r="AA352" s="69"/>
      <c r="AB352" s="70"/>
      <c r="AC352" s="69"/>
      <c r="AD352" s="69"/>
      <c r="AE352" s="71"/>
      <c r="AF352" s="69"/>
    </row>
    <row r="353" s="3" customFormat="1" ht="15" customHeight="1" spans="1:46">
      <c r="A353" s="60">
        <v>328</v>
      </c>
      <c r="B353" s="61" t="s">
        <v>709</v>
      </c>
      <c r="C353" s="61" t="s">
        <v>710</v>
      </c>
      <c r="D353" s="61" t="s">
        <v>52</v>
      </c>
      <c r="E353" s="62">
        <v>37324</v>
      </c>
      <c r="F353" s="61">
        <v>27617</v>
      </c>
      <c r="G353" s="61" t="s">
        <v>53</v>
      </c>
      <c r="H353" s="63" t="s">
        <v>54</v>
      </c>
      <c r="I353" s="64" t="s">
        <v>119</v>
      </c>
      <c r="J353" s="63" t="s">
        <v>56</v>
      </c>
      <c r="K353" s="65"/>
      <c r="L353" s="66"/>
      <c r="M353" s="67" t="s">
        <v>53</v>
      </c>
      <c r="N353" s="67" t="s">
        <v>59</v>
      </c>
      <c r="O353" s="67">
        <v>42.39</v>
      </c>
      <c r="P353" s="68" t="s">
        <v>53</v>
      </c>
      <c r="Q353" s="67" t="s">
        <v>60</v>
      </c>
      <c r="R353" s="67">
        <v>8.22</v>
      </c>
      <c r="S353" s="69" t="s">
        <v>61</v>
      </c>
      <c r="T353" s="69">
        <v>150000</v>
      </c>
      <c r="U353" s="69"/>
      <c r="V353" s="69" t="s">
        <v>62</v>
      </c>
      <c r="W353" s="69">
        <v>4166.88</v>
      </c>
      <c r="X353" s="69"/>
      <c r="Y353" s="69" t="s">
        <v>63</v>
      </c>
      <c r="Z353" s="69">
        <v>865</v>
      </c>
      <c r="AA353" s="69"/>
      <c r="AB353" s="70"/>
      <c r="AC353" s="69" t="s">
        <v>201</v>
      </c>
      <c r="AD353" s="69"/>
      <c r="AE353" s="71">
        <v>76875</v>
      </c>
      <c r="AF353" s="69"/>
      <c r="AG353" s="3" t="str">
        <f>B353&amp;C353</f>
        <v>SnehaPasupula</v>
      </c>
      <c r="AH353" s="3" t="str">
        <f>VLOOKUP($AG353,[1]Sheet8!$B:$G,1,0)</f>
        <v>SNEHAPASUPULA</v>
      </c>
      <c r="AI353" s="3" t="str">
        <f>VLOOKUP($AG353,[1]Sheet8!$B:$G,4,0)</f>
        <v>EE</v>
      </c>
      <c r="AJ353" s="3" t="str">
        <f>VLOOKUP($AG353,[1]Sheet8!$B:$G,5,0)</f>
        <v>L093530003</v>
      </c>
      <c r="AK353" s="3">
        <f>VLOOKUP($AG353,[1]Sheet8!$B:$G,6,0)</f>
        <v>8.22</v>
      </c>
      <c r="AO353" s="3" t="s">
        <v>53</v>
      </c>
      <c r="AP353" s="3" t="s">
        <v>59</v>
      </c>
      <c r="AQ353" s="3">
        <v>42.39</v>
      </c>
      <c r="AR353" s="3" t="s">
        <v>53</v>
      </c>
      <c r="AS353" s="3" t="s">
        <v>60</v>
      </c>
      <c r="AT353" s="3">
        <v>8.22</v>
      </c>
    </row>
    <row r="354" s="3" customFormat="1" ht="15" customHeight="1" spans="1:46">
      <c r="A354" s="60">
        <v>329</v>
      </c>
      <c r="B354" s="61" t="s">
        <v>711</v>
      </c>
      <c r="C354" s="61" t="s">
        <v>712</v>
      </c>
      <c r="D354" s="61" t="s">
        <v>52</v>
      </c>
      <c r="E354" s="62">
        <v>28271</v>
      </c>
      <c r="F354" s="61" t="s">
        <v>713</v>
      </c>
      <c r="G354" s="61" t="s">
        <v>53</v>
      </c>
      <c r="H354" s="63" t="s">
        <v>54</v>
      </c>
      <c r="I354" s="64" t="s">
        <v>119</v>
      </c>
      <c r="J354" s="63" t="s">
        <v>56</v>
      </c>
      <c r="K354" s="65"/>
      <c r="L354" s="66"/>
      <c r="M354" s="67"/>
      <c r="N354" s="67"/>
      <c r="O354" s="67"/>
      <c r="P354" s="68"/>
      <c r="Q354" s="67"/>
      <c r="R354" s="67"/>
      <c r="S354" s="69" t="s">
        <v>61</v>
      </c>
      <c r="T354" s="69">
        <v>250000</v>
      </c>
      <c r="U354" s="69"/>
      <c r="V354" s="69" t="s">
        <v>62</v>
      </c>
      <c r="W354" s="69">
        <v>10000</v>
      </c>
      <c r="X354" s="69"/>
      <c r="Y354" s="69" t="s">
        <v>63</v>
      </c>
      <c r="Z354" s="69">
        <v>2000</v>
      </c>
      <c r="AA354" s="69"/>
      <c r="AB354" s="70"/>
      <c r="AC354" s="69" t="s">
        <v>714</v>
      </c>
      <c r="AD354" s="69"/>
      <c r="AE354" s="71">
        <v>285880</v>
      </c>
      <c r="AF354" s="69"/>
      <c r="AG354" s="3" t="str">
        <f>B354&amp;C354</f>
        <v>SonalPatel Sheth</v>
      </c>
      <c r="AH354" s="3" t="e">
        <f>VLOOKUP($AG354,[1]Sheet8!$B:$G,1,0)</f>
        <v>#N/A</v>
      </c>
      <c r="AI354" s="3" t="e">
        <f>VLOOKUP($AG354,[1]Sheet8!$B:$G,4,0)</f>
        <v>#N/A</v>
      </c>
      <c r="AJ354" s="3" t="e">
        <f>VLOOKUP($AG354,[1]Sheet8!$B:$G,5,0)</f>
        <v>#N/A</v>
      </c>
      <c r="AK354" s="3" t="e">
        <f>VLOOKUP($AG354,[1]Sheet8!$B:$G,6,0)</f>
        <v>#N/A</v>
      </c>
    </row>
    <row r="355" s="3" customFormat="1" ht="15" customHeight="1" spans="1:46">
      <c r="A355" s="60">
        <v>330</v>
      </c>
      <c r="B355" s="61" t="s">
        <v>453</v>
      </c>
      <c r="C355" s="61" t="s">
        <v>715</v>
      </c>
      <c r="D355" s="61" t="s">
        <v>67</v>
      </c>
      <c r="E355" s="62">
        <v>32013</v>
      </c>
      <c r="F355" s="61">
        <v>33711</v>
      </c>
      <c r="G355" s="61" t="s">
        <v>53</v>
      </c>
      <c r="H355" s="63" t="s">
        <v>54</v>
      </c>
      <c r="I355" s="64" t="s">
        <v>119</v>
      </c>
      <c r="J355" s="63" t="s">
        <v>56</v>
      </c>
      <c r="K355" s="65"/>
      <c r="L355" s="66"/>
      <c r="M355" s="67" t="s">
        <v>58</v>
      </c>
      <c r="N355" s="67" t="s">
        <v>59</v>
      </c>
      <c r="O355" s="67">
        <v>147.1</v>
      </c>
      <c r="P355" s="68" t="s">
        <v>58</v>
      </c>
      <c r="Q355" s="67" t="s">
        <v>60</v>
      </c>
      <c r="R355" s="67">
        <v>23</v>
      </c>
      <c r="S355" s="69" t="s">
        <v>61</v>
      </c>
      <c r="T355" s="69">
        <v>250000</v>
      </c>
      <c r="U355" s="69"/>
      <c r="V355" s="69" t="s">
        <v>62</v>
      </c>
      <c r="W355" s="69">
        <v>8611.54</v>
      </c>
      <c r="X355" s="69"/>
      <c r="Y355" s="69" t="s">
        <v>63</v>
      </c>
      <c r="Z355" s="69">
        <v>1788</v>
      </c>
      <c r="AA355" s="69"/>
      <c r="AB355" s="70"/>
      <c r="AC355" s="69" t="s">
        <v>716</v>
      </c>
      <c r="AD355" s="69"/>
      <c r="AE355" s="71">
        <v>159650</v>
      </c>
      <c r="AF355" s="69"/>
      <c r="AG355" s="3" t="str">
        <f>B355&amp;C355</f>
        <v>JonathanPelts</v>
      </c>
      <c r="AH355" s="3" t="str">
        <f>VLOOKUP($AG355,[1]Sheet8!$B:$G,1,0)</f>
        <v>JONATHANPELTS</v>
      </c>
      <c r="AI355" s="3" t="str">
        <f>VLOOKUP($AG355,[1]Sheet8!$B:$G,4,0)</f>
        <v>FAM</v>
      </c>
      <c r="AJ355" s="3" t="str">
        <f>VLOOKUP($AG355,[1]Sheet8!$B:$G,5,0)</f>
        <v>L093530003</v>
      </c>
      <c r="AK355" s="3">
        <f>VLOOKUP($AG355,[1]Sheet8!$B:$G,6,0)</f>
        <v>23</v>
      </c>
      <c r="AO355" s="3" t="s">
        <v>58</v>
      </c>
      <c r="AP355" s="3" t="s">
        <v>59</v>
      </c>
      <c r="AQ355" s="3">
        <v>147.1</v>
      </c>
      <c r="AR355" s="3" t="s">
        <v>58</v>
      </c>
      <c r="AS355" s="3" t="s">
        <v>60</v>
      </c>
      <c r="AT355" s="3">
        <v>23</v>
      </c>
    </row>
    <row r="356" s="3" customFormat="1" ht="15" customHeight="1" spans="1:46">
      <c r="A356" s="60">
        <v>331</v>
      </c>
      <c r="B356" s="61" t="s">
        <v>594</v>
      </c>
      <c r="C356" s="61" t="s">
        <v>717</v>
      </c>
      <c r="D356" s="61" t="s">
        <v>67</v>
      </c>
      <c r="E356" s="62">
        <v>28731</v>
      </c>
      <c r="F356" s="61">
        <v>80227</v>
      </c>
      <c r="G356" s="61" t="s">
        <v>53</v>
      </c>
      <c r="H356" s="63" t="s">
        <v>54</v>
      </c>
      <c r="I356" s="64" t="s">
        <v>58</v>
      </c>
      <c r="J356" s="63" t="s">
        <v>56</v>
      </c>
      <c r="K356" s="65" t="s">
        <v>57</v>
      </c>
      <c r="L356" s="66">
        <v>3831.06</v>
      </c>
      <c r="M356" s="67" t="s">
        <v>58</v>
      </c>
      <c r="N356" s="67" t="s">
        <v>59</v>
      </c>
      <c r="O356" s="67">
        <v>147.1</v>
      </c>
      <c r="P356" s="68" t="s">
        <v>58</v>
      </c>
      <c r="Q356" s="67" t="s">
        <v>60</v>
      </c>
      <c r="R356" s="67">
        <v>23</v>
      </c>
      <c r="S356" s="69" t="s">
        <v>61</v>
      </c>
      <c r="T356" s="69">
        <v>250000</v>
      </c>
      <c r="U356" s="69"/>
      <c r="V356" s="69" t="s">
        <v>62</v>
      </c>
      <c r="W356" s="69">
        <v>10000</v>
      </c>
      <c r="X356" s="69"/>
      <c r="Y356" s="69" t="s">
        <v>63</v>
      </c>
      <c r="Z356" s="69">
        <v>2000</v>
      </c>
      <c r="AA356" s="69"/>
      <c r="AB356" s="70"/>
      <c r="AC356" s="69" t="s">
        <v>718</v>
      </c>
      <c r="AD356" s="69"/>
      <c r="AE356" s="71">
        <v>198668</v>
      </c>
      <c r="AF356" s="69"/>
      <c r="AG356" s="3" t="str">
        <f>B356&amp;C356</f>
        <v>ChristopherPerkins</v>
      </c>
      <c r="AH356" s="3" t="str">
        <f>VLOOKUP($AG356,[1]Sheet8!$B:$G,1,0)</f>
        <v>CHRISTOPHERPERKINS</v>
      </c>
      <c r="AI356" s="3" t="str">
        <f>VLOOKUP($AG356,[1]Sheet8!$B:$G,4,0)</f>
        <v>FAM</v>
      </c>
      <c r="AJ356" s="3" t="str">
        <f>VLOOKUP($AG356,[1]Sheet8!$B:$G,5,0)</f>
        <v>L093530003</v>
      </c>
      <c r="AK356" s="3">
        <f>VLOOKUP($AG356,[1]Sheet8!$B:$G,6,0)</f>
        <v>23</v>
      </c>
      <c r="AL356" s="3" t="s">
        <v>58</v>
      </c>
      <c r="AM356" s="3" t="s">
        <v>57</v>
      </c>
      <c r="AN356" s="3">
        <v>3831.06</v>
      </c>
      <c r="AO356" s="3" t="s">
        <v>58</v>
      </c>
      <c r="AP356" s="3" t="s">
        <v>59</v>
      </c>
      <c r="AQ356" s="3">
        <v>147.1</v>
      </c>
      <c r="AR356" s="3" t="s">
        <v>58</v>
      </c>
      <c r="AS356" s="3" t="s">
        <v>60</v>
      </c>
      <c r="AT356" s="3">
        <v>23</v>
      </c>
    </row>
    <row r="357" s="3" customFormat="1" ht="15" customHeight="1" spans="1:46">
      <c r="A357" s="60">
        <v>332</v>
      </c>
      <c r="B357" s="61" t="s">
        <v>719</v>
      </c>
      <c r="C357" s="61" t="s">
        <v>720</v>
      </c>
      <c r="D357" s="61" t="s">
        <v>67</v>
      </c>
      <c r="E357" s="62">
        <v>43233</v>
      </c>
      <c r="F357" s="61">
        <v>80227</v>
      </c>
      <c r="G357" s="61" t="s">
        <v>68</v>
      </c>
      <c r="H357" s="63">
        <v>331</v>
      </c>
      <c r="I357" s="64" t="s">
        <v>58</v>
      </c>
      <c r="J357" s="63" t="s">
        <v>56</v>
      </c>
      <c r="K357" s="65"/>
      <c r="L357" s="66"/>
      <c r="M357" s="67"/>
      <c r="N357" s="67"/>
      <c r="O357" s="67"/>
      <c r="P357" s="68"/>
      <c r="Q357" s="67"/>
      <c r="R357" s="67"/>
      <c r="S357" s="69"/>
      <c r="T357" s="69"/>
      <c r="U357" s="69"/>
      <c r="V357" s="69"/>
      <c r="W357" s="69"/>
      <c r="X357" s="69"/>
      <c r="Y357" s="69"/>
      <c r="Z357" s="69"/>
      <c r="AA357" s="69"/>
      <c r="AB357" s="70"/>
      <c r="AC357" s="69"/>
      <c r="AD357" s="69"/>
      <c r="AE357" s="71"/>
      <c r="AF357" s="69"/>
    </row>
    <row r="358" s="3" customFormat="1" ht="15" customHeight="1" spans="1:46">
      <c r="A358" s="60">
        <v>333</v>
      </c>
      <c r="B358" s="61" t="s">
        <v>721</v>
      </c>
      <c r="C358" s="61" t="s">
        <v>722</v>
      </c>
      <c r="D358" s="61" t="s">
        <v>67</v>
      </c>
      <c r="E358" s="62">
        <v>39509</v>
      </c>
      <c r="F358" s="61">
        <v>80227</v>
      </c>
      <c r="G358" s="61" t="s">
        <v>68</v>
      </c>
      <c r="H358" s="63">
        <v>331</v>
      </c>
      <c r="I358" s="64" t="s">
        <v>58</v>
      </c>
      <c r="J358" s="63" t="s">
        <v>56</v>
      </c>
      <c r="K358" s="65"/>
      <c r="L358" s="66"/>
      <c r="M358" s="67"/>
      <c r="N358" s="67"/>
      <c r="O358" s="67"/>
      <c r="P358" s="68"/>
      <c r="Q358" s="67"/>
      <c r="R358" s="67"/>
      <c r="S358" s="69"/>
      <c r="T358" s="69"/>
      <c r="U358" s="69"/>
      <c r="V358" s="69"/>
      <c r="W358" s="69"/>
      <c r="X358" s="69"/>
      <c r="Y358" s="69"/>
      <c r="Z358" s="69"/>
      <c r="AA358" s="69"/>
      <c r="AB358" s="70"/>
      <c r="AC358" s="69"/>
      <c r="AD358" s="69"/>
      <c r="AE358" s="71"/>
      <c r="AF358" s="69"/>
    </row>
    <row r="359" s="3" customFormat="1" ht="15" customHeight="1" spans="1:46">
      <c r="A359" s="60">
        <v>334</v>
      </c>
      <c r="B359" s="61" t="s">
        <v>723</v>
      </c>
      <c r="C359" s="61" t="s">
        <v>720</v>
      </c>
      <c r="D359" s="61" t="s">
        <v>67</v>
      </c>
      <c r="E359" s="62">
        <v>38813</v>
      </c>
      <c r="F359" s="61">
        <v>80227</v>
      </c>
      <c r="G359" s="61" t="s">
        <v>68</v>
      </c>
      <c r="H359" s="63">
        <v>331</v>
      </c>
      <c r="I359" s="64" t="s">
        <v>58</v>
      </c>
      <c r="J359" s="63" t="s">
        <v>56</v>
      </c>
      <c r="K359" s="65"/>
      <c r="L359" s="66"/>
      <c r="M359" s="67"/>
      <c r="N359" s="67"/>
      <c r="O359" s="67"/>
      <c r="P359" s="68"/>
      <c r="Q359" s="67"/>
      <c r="R359" s="67"/>
      <c r="S359" s="69"/>
      <c r="T359" s="69"/>
      <c r="U359" s="69"/>
      <c r="V359" s="69"/>
      <c r="W359" s="69"/>
      <c r="X359" s="69"/>
      <c r="Y359" s="69"/>
      <c r="Z359" s="69"/>
      <c r="AA359" s="69"/>
      <c r="AB359" s="70"/>
      <c r="AC359" s="69"/>
      <c r="AD359" s="69"/>
      <c r="AE359" s="71"/>
      <c r="AF359" s="69"/>
    </row>
    <row r="360" s="3" customFormat="1" ht="15" customHeight="1" spans="1:46">
      <c r="A360" s="60">
        <v>335</v>
      </c>
      <c r="B360" s="61" t="s">
        <v>724</v>
      </c>
      <c r="C360" s="61" t="s">
        <v>720</v>
      </c>
      <c r="D360" s="61" t="s">
        <v>67</v>
      </c>
      <c r="E360" s="62">
        <v>37767</v>
      </c>
      <c r="F360" s="61">
        <v>80227</v>
      </c>
      <c r="G360" s="61" t="s">
        <v>68</v>
      </c>
      <c r="H360" s="63">
        <v>331</v>
      </c>
      <c r="I360" s="64" t="s">
        <v>58</v>
      </c>
      <c r="J360" s="63" t="s">
        <v>56</v>
      </c>
      <c r="K360" s="65"/>
      <c r="L360" s="66"/>
      <c r="M360" s="67"/>
      <c r="N360" s="67"/>
      <c r="O360" s="67"/>
      <c r="P360" s="68"/>
      <c r="Q360" s="67"/>
      <c r="R360" s="67"/>
      <c r="S360" s="69"/>
      <c r="T360" s="69"/>
      <c r="U360" s="69"/>
      <c r="V360" s="69"/>
      <c r="W360" s="69"/>
      <c r="X360" s="69"/>
      <c r="Y360" s="69"/>
      <c r="Z360" s="69"/>
      <c r="AA360" s="69"/>
      <c r="AB360" s="70"/>
      <c r="AC360" s="69"/>
      <c r="AD360" s="69"/>
      <c r="AE360" s="71"/>
      <c r="AF360" s="69"/>
    </row>
    <row r="361" s="3" customFormat="1" ht="15" customHeight="1" spans="1:46">
      <c r="A361" s="60">
        <v>336</v>
      </c>
      <c r="B361" s="61" t="s">
        <v>725</v>
      </c>
      <c r="C361" s="61" t="s">
        <v>726</v>
      </c>
      <c r="D361" s="61" t="s">
        <v>52</v>
      </c>
      <c r="E361" s="62">
        <v>29838</v>
      </c>
      <c r="F361" s="61">
        <v>80227</v>
      </c>
      <c r="G361" s="61" t="s">
        <v>85</v>
      </c>
      <c r="H361" s="63">
        <v>331</v>
      </c>
      <c r="I361" s="64" t="s">
        <v>58</v>
      </c>
      <c r="J361" s="63" t="s">
        <v>56</v>
      </c>
      <c r="K361" s="65"/>
      <c r="L361" s="66"/>
      <c r="M361" s="67"/>
      <c r="N361" s="67"/>
      <c r="O361" s="67"/>
      <c r="P361" s="68"/>
      <c r="Q361" s="67"/>
      <c r="R361" s="67"/>
      <c r="S361" s="69"/>
      <c r="T361" s="69"/>
      <c r="U361" s="69"/>
      <c r="V361" s="69"/>
      <c r="W361" s="69"/>
      <c r="X361" s="69"/>
      <c r="Y361" s="69"/>
      <c r="Z361" s="69"/>
      <c r="AA361" s="69"/>
      <c r="AB361" s="70"/>
      <c r="AC361" s="69"/>
      <c r="AD361" s="69"/>
      <c r="AE361" s="71"/>
      <c r="AF361" s="69"/>
    </row>
    <row r="362" s="3" customFormat="1" ht="15" customHeight="1" spans="1:46">
      <c r="A362" s="60">
        <v>337</v>
      </c>
      <c r="B362" s="61" t="s">
        <v>727</v>
      </c>
      <c r="C362" s="61" t="s">
        <v>728</v>
      </c>
      <c r="D362" s="61" t="s">
        <v>67</v>
      </c>
      <c r="E362" s="62">
        <v>25983</v>
      </c>
      <c r="F362" s="61">
        <v>97211</v>
      </c>
      <c r="G362" s="61" t="s">
        <v>53</v>
      </c>
      <c r="H362" s="63" t="s">
        <v>54</v>
      </c>
      <c r="I362" s="64" t="s">
        <v>58</v>
      </c>
      <c r="J362" s="63" t="s">
        <v>56</v>
      </c>
      <c r="K362" s="65" t="s">
        <v>57</v>
      </c>
      <c r="L362" s="66">
        <v>3831.06</v>
      </c>
      <c r="M362" s="67" t="s">
        <v>58</v>
      </c>
      <c r="N362" s="67" t="s">
        <v>59</v>
      </c>
      <c r="O362" s="67">
        <v>147.1</v>
      </c>
      <c r="P362" s="68" t="s">
        <v>58</v>
      </c>
      <c r="Q362" s="67" t="s">
        <v>60</v>
      </c>
      <c r="R362" s="67">
        <v>23</v>
      </c>
      <c r="S362" s="69" t="s">
        <v>61</v>
      </c>
      <c r="T362" s="69">
        <v>250000</v>
      </c>
      <c r="U362" s="69"/>
      <c r="V362" s="69" t="s">
        <v>62</v>
      </c>
      <c r="W362" s="69">
        <v>10000</v>
      </c>
      <c r="X362" s="69"/>
      <c r="Y362" s="69" t="s">
        <v>63</v>
      </c>
      <c r="Z362" s="69">
        <v>2000</v>
      </c>
      <c r="AA362" s="69"/>
      <c r="AB362" s="70"/>
      <c r="AC362" s="69" t="s">
        <v>729</v>
      </c>
      <c r="AD362" s="69"/>
      <c r="AE362" s="71">
        <v>312083</v>
      </c>
      <c r="AF362" s="69"/>
      <c r="AG362" s="3" t="str">
        <f>B362&amp;C362</f>
        <v>ScottPerretta</v>
      </c>
      <c r="AH362" s="3" t="str">
        <f>VLOOKUP($AG362,[1]Sheet8!$B:$G,1,0)</f>
        <v>SCOTTPERRETTA</v>
      </c>
      <c r="AI362" s="3" t="str">
        <f>VLOOKUP($AG362,[1]Sheet8!$B:$G,4,0)</f>
        <v>FAM</v>
      </c>
      <c r="AJ362" s="3" t="str">
        <f>VLOOKUP($AG362,[1]Sheet8!$B:$G,5,0)</f>
        <v>L093530003</v>
      </c>
      <c r="AK362" s="3">
        <f>VLOOKUP($AG362,[1]Sheet8!$B:$G,6,0)</f>
        <v>23</v>
      </c>
      <c r="AL362" s="3" t="s">
        <v>58</v>
      </c>
      <c r="AM362" s="3" t="s">
        <v>57</v>
      </c>
      <c r="AN362" s="3">
        <v>3831.06</v>
      </c>
      <c r="AO362" s="3" t="s">
        <v>58</v>
      </c>
      <c r="AP362" s="3" t="s">
        <v>59</v>
      </c>
      <c r="AQ362" s="3">
        <v>147.1</v>
      </c>
      <c r="AR362" s="3" t="s">
        <v>58</v>
      </c>
      <c r="AS362" s="3" t="s">
        <v>60</v>
      </c>
      <c r="AT362" s="3">
        <v>23</v>
      </c>
    </row>
    <row r="363" s="3" customFormat="1" ht="15" customHeight="1" spans="1:46">
      <c r="A363" s="60">
        <v>338</v>
      </c>
      <c r="B363" s="61" t="s">
        <v>730</v>
      </c>
      <c r="C363" s="61" t="s">
        <v>728</v>
      </c>
      <c r="D363" s="61" t="s">
        <v>52</v>
      </c>
      <c r="E363" s="62">
        <v>44671</v>
      </c>
      <c r="F363" s="61">
        <v>97211</v>
      </c>
      <c r="G363" s="61" t="s">
        <v>68</v>
      </c>
      <c r="H363" s="63">
        <v>337</v>
      </c>
      <c r="I363" s="64" t="s">
        <v>58</v>
      </c>
      <c r="J363" s="63" t="s">
        <v>56</v>
      </c>
      <c r="K363" s="65"/>
      <c r="L363" s="66"/>
      <c r="M363" s="67"/>
      <c r="N363" s="67"/>
      <c r="O363" s="67"/>
      <c r="P363" s="68"/>
      <c r="Q363" s="67"/>
      <c r="R363" s="67"/>
      <c r="S363" s="69"/>
      <c r="T363" s="69"/>
      <c r="U363" s="69"/>
      <c r="V363" s="69"/>
      <c r="W363" s="69"/>
      <c r="X363" s="69"/>
      <c r="Y363" s="69"/>
      <c r="Z363" s="69"/>
      <c r="AA363" s="69"/>
      <c r="AB363" s="70"/>
      <c r="AC363" s="69"/>
      <c r="AD363" s="69"/>
      <c r="AE363" s="71"/>
      <c r="AF363" s="69"/>
    </row>
    <row r="364" s="3" customFormat="1" ht="15" customHeight="1" spans="1:46">
      <c r="A364" s="60">
        <v>339</v>
      </c>
      <c r="B364" s="61" t="s">
        <v>731</v>
      </c>
      <c r="C364" s="61" t="s">
        <v>732</v>
      </c>
      <c r="D364" s="61" t="s">
        <v>52</v>
      </c>
      <c r="E364" s="62">
        <v>31924</v>
      </c>
      <c r="F364" s="61">
        <v>97211</v>
      </c>
      <c r="G364" s="61" t="s">
        <v>85</v>
      </c>
      <c r="H364" s="63">
        <v>337</v>
      </c>
      <c r="I364" s="64" t="s">
        <v>58</v>
      </c>
      <c r="J364" s="63" t="s">
        <v>56</v>
      </c>
      <c r="K364" s="65"/>
      <c r="L364" s="66"/>
      <c r="M364" s="67"/>
      <c r="N364" s="67"/>
      <c r="O364" s="67"/>
      <c r="P364" s="68"/>
      <c r="Q364" s="67"/>
      <c r="R364" s="67"/>
      <c r="S364" s="69"/>
      <c r="T364" s="69"/>
      <c r="U364" s="69"/>
      <c r="V364" s="69"/>
      <c r="W364" s="69"/>
      <c r="X364" s="69"/>
      <c r="Y364" s="69"/>
      <c r="Z364" s="69"/>
      <c r="AA364" s="69"/>
      <c r="AB364" s="70"/>
      <c r="AC364" s="69"/>
      <c r="AD364" s="69"/>
      <c r="AE364" s="71"/>
      <c r="AF364" s="69"/>
    </row>
    <row r="365" s="3" customFormat="1" ht="15" customHeight="1" spans="1:46">
      <c r="A365" s="60">
        <v>340</v>
      </c>
      <c r="B365" s="61" t="s">
        <v>733</v>
      </c>
      <c r="C365" s="61" t="s">
        <v>734</v>
      </c>
      <c r="D365" s="61" t="s">
        <v>52</v>
      </c>
      <c r="E365" s="62">
        <v>35332</v>
      </c>
      <c r="F365" s="61">
        <v>23508</v>
      </c>
      <c r="G365" s="61" t="s">
        <v>53</v>
      </c>
      <c r="H365" s="63" t="s">
        <v>54</v>
      </c>
      <c r="I365" s="64" t="s">
        <v>53</v>
      </c>
      <c r="J365" s="63" t="s">
        <v>56</v>
      </c>
      <c r="K365" s="65" t="s">
        <v>82</v>
      </c>
      <c r="L365" s="66">
        <v>781.79</v>
      </c>
      <c r="M365" s="67" t="s">
        <v>53</v>
      </c>
      <c r="N365" s="67" t="s">
        <v>59</v>
      </c>
      <c r="O365" s="67">
        <v>42.39</v>
      </c>
      <c r="P365" s="68" t="s">
        <v>53</v>
      </c>
      <c r="Q365" s="67" t="s">
        <v>60</v>
      </c>
      <c r="R365" s="67">
        <v>8.22</v>
      </c>
      <c r="S365" s="69" t="s">
        <v>61</v>
      </c>
      <c r="T365" s="69">
        <v>199000</v>
      </c>
      <c r="U365" s="69"/>
      <c r="V365" s="69" t="s">
        <v>62</v>
      </c>
      <c r="W365" s="69">
        <v>5512.39</v>
      </c>
      <c r="X365" s="69"/>
      <c r="Y365" s="69" t="s">
        <v>63</v>
      </c>
      <c r="Z365" s="69">
        <v>1145</v>
      </c>
      <c r="AA365" s="69"/>
      <c r="AB365" s="70"/>
      <c r="AC365" s="69" t="s">
        <v>64</v>
      </c>
      <c r="AD365" s="69"/>
      <c r="AE365" s="71">
        <v>108000</v>
      </c>
      <c r="AF365" s="69"/>
      <c r="AG365" s="3" t="str">
        <f>B365&amp;C365</f>
        <v>MadisonPezzella</v>
      </c>
      <c r="AH365" s="3" t="str">
        <f>VLOOKUP($AG365,[1]Sheet8!$B:$G,1,0)</f>
        <v>MADISONPEZZELLA</v>
      </c>
      <c r="AI365" s="3" t="str">
        <f>VLOOKUP($AG365,[1]Sheet8!$B:$G,4,0)</f>
        <v>EE</v>
      </c>
      <c r="AJ365" s="3" t="str">
        <f>VLOOKUP($AG365,[1]Sheet8!$B:$G,5,0)</f>
        <v>L093530003</v>
      </c>
      <c r="AK365" s="3">
        <f>VLOOKUP($AG365,[1]Sheet8!$B:$G,6,0)</f>
        <v>8.22</v>
      </c>
      <c r="AL365" s="3" t="s">
        <v>53</v>
      </c>
      <c r="AM365" s="3" t="s">
        <v>82</v>
      </c>
      <c r="AN365" s="3">
        <v>781.79</v>
      </c>
      <c r="AO365" s="3" t="s">
        <v>53</v>
      </c>
      <c r="AP365" s="3" t="s">
        <v>59</v>
      </c>
      <c r="AQ365" s="3">
        <v>42.39</v>
      </c>
      <c r="AR365" s="3" t="s">
        <v>53</v>
      </c>
      <c r="AS365" s="3" t="s">
        <v>60</v>
      </c>
      <c r="AT365" s="3">
        <v>8.22</v>
      </c>
    </row>
    <row r="366" s="3" customFormat="1" ht="15" customHeight="1" spans="1:46">
      <c r="A366" s="60">
        <v>341</v>
      </c>
      <c r="B366" s="61" t="s">
        <v>735</v>
      </c>
      <c r="C366" s="61" t="s">
        <v>736</v>
      </c>
      <c r="D366" s="61" t="s">
        <v>52</v>
      </c>
      <c r="E366" s="62">
        <v>30401</v>
      </c>
      <c r="F366" s="61">
        <v>11217</v>
      </c>
      <c r="G366" s="61" t="s">
        <v>53</v>
      </c>
      <c r="H366" s="63" t="s">
        <v>54</v>
      </c>
      <c r="I366" s="64" t="s">
        <v>53</v>
      </c>
      <c r="J366" s="63" t="s">
        <v>56</v>
      </c>
      <c r="K366" s="65" t="s">
        <v>57</v>
      </c>
      <c r="L366" s="66">
        <v>1235.83</v>
      </c>
      <c r="M366" s="67" t="s">
        <v>53</v>
      </c>
      <c r="N366" s="67" t="s">
        <v>59</v>
      </c>
      <c r="O366" s="67">
        <v>42.39</v>
      </c>
      <c r="P366" s="68" t="s">
        <v>53</v>
      </c>
      <c r="Q366" s="67" t="s">
        <v>60</v>
      </c>
      <c r="R366" s="67">
        <v>8.22</v>
      </c>
      <c r="S366" s="69" t="s">
        <v>61</v>
      </c>
      <c r="T366" s="69">
        <v>250000</v>
      </c>
      <c r="U366" s="69"/>
      <c r="V366" s="69" t="s">
        <v>62</v>
      </c>
      <c r="W366" s="69">
        <v>10000</v>
      </c>
      <c r="X366" s="69"/>
      <c r="Y366" s="69" t="s">
        <v>63</v>
      </c>
      <c r="Z366" s="69">
        <v>2000</v>
      </c>
      <c r="AA366" s="69"/>
      <c r="AB366" s="70"/>
      <c r="AC366" s="69" t="s">
        <v>737</v>
      </c>
      <c r="AD366" s="69"/>
      <c r="AE366" s="71">
        <v>193352</v>
      </c>
      <c r="AF366" s="69"/>
      <c r="AG366" s="3" t="str">
        <f>B366&amp;C366</f>
        <v>RebeccaPhillips</v>
      </c>
      <c r="AH366" s="3" t="str">
        <f>VLOOKUP($AG366,[1]Sheet8!$B:$G,1,0)</f>
        <v>REBECCAPHILLIPS</v>
      </c>
      <c r="AI366" s="3" t="str">
        <f>VLOOKUP($AG366,[1]Sheet8!$B:$G,4,0)</f>
        <v>EE</v>
      </c>
      <c r="AJ366" s="3" t="str">
        <f>VLOOKUP($AG366,[1]Sheet8!$B:$G,5,0)</f>
        <v>L093530003</v>
      </c>
      <c r="AK366" s="3">
        <f>VLOOKUP($AG366,[1]Sheet8!$B:$G,6,0)</f>
        <v>8.22</v>
      </c>
      <c r="AL366" s="3" t="s">
        <v>53</v>
      </c>
      <c r="AM366" s="3" t="s">
        <v>57</v>
      </c>
      <c r="AN366" s="3">
        <v>1235.83</v>
      </c>
      <c r="AO366" s="3" t="s">
        <v>53</v>
      </c>
      <c r="AP366" s="3" t="s">
        <v>59</v>
      </c>
      <c r="AQ366" s="3">
        <v>42.39</v>
      </c>
      <c r="AR366" s="3" t="s">
        <v>53</v>
      </c>
      <c r="AS366" s="3" t="s">
        <v>60</v>
      </c>
      <c r="AT366" s="3">
        <v>8.22</v>
      </c>
    </row>
    <row r="367" s="3" customFormat="1" ht="15" customHeight="1" spans="1:46">
      <c r="A367" s="60">
        <v>342</v>
      </c>
      <c r="B367" s="61" t="s">
        <v>136</v>
      </c>
      <c r="C367" s="61" t="s">
        <v>738</v>
      </c>
      <c r="D367" s="61" t="s">
        <v>52</v>
      </c>
      <c r="E367" s="62">
        <v>29991</v>
      </c>
      <c r="F367" s="61">
        <v>45174</v>
      </c>
      <c r="G367" s="61" t="s">
        <v>53</v>
      </c>
      <c r="H367" s="63" t="s">
        <v>54</v>
      </c>
      <c r="I367" s="64" t="s">
        <v>55</v>
      </c>
      <c r="J367" s="63" t="s">
        <v>56</v>
      </c>
      <c r="K367" s="65" t="s">
        <v>82</v>
      </c>
      <c r="L367" s="66">
        <v>1407.23</v>
      </c>
      <c r="M367" s="67" t="s">
        <v>58</v>
      </c>
      <c r="N367" s="67" t="s">
        <v>59</v>
      </c>
      <c r="O367" s="67">
        <v>147.1</v>
      </c>
      <c r="P367" s="68" t="s">
        <v>55</v>
      </c>
      <c r="Q367" s="67" t="s">
        <v>60</v>
      </c>
      <c r="R367" s="67">
        <v>13.95</v>
      </c>
      <c r="S367" s="69" t="s">
        <v>61</v>
      </c>
      <c r="T367" s="69">
        <v>250000</v>
      </c>
      <c r="U367" s="69"/>
      <c r="V367" s="69" t="s">
        <v>62</v>
      </c>
      <c r="W367" s="69">
        <v>10000</v>
      </c>
      <c r="X367" s="69"/>
      <c r="Y367" s="69" t="s">
        <v>63</v>
      </c>
      <c r="Z367" s="69">
        <v>2000</v>
      </c>
      <c r="AA367" s="69"/>
      <c r="AB367" s="70"/>
      <c r="AC367" s="69" t="s">
        <v>739</v>
      </c>
      <c r="AD367" s="69"/>
      <c r="AE367" s="71">
        <v>288400</v>
      </c>
      <c r="AF367" s="69"/>
      <c r="AG367" s="3" t="str">
        <f>B367&amp;C367</f>
        <v>NicolePike</v>
      </c>
      <c r="AH367" s="3" t="str">
        <f>VLOOKUP($AG367,[1]Sheet8!$B:$G,1,0)</f>
        <v>NICOLEPIKE</v>
      </c>
      <c r="AI367" s="3" t="str">
        <f>VLOOKUP($AG367,[1]Sheet8!$B:$G,4,0)</f>
        <v>EC</v>
      </c>
      <c r="AJ367" s="3" t="str">
        <f>VLOOKUP($AG367,[1]Sheet8!$B:$G,5,0)</f>
        <v>L093530003</v>
      </c>
      <c r="AK367" s="3">
        <f>VLOOKUP($AG367,[1]Sheet8!$B:$G,6,0)</f>
        <v>13.95</v>
      </c>
      <c r="AL367" s="3" t="s">
        <v>55</v>
      </c>
      <c r="AM367" s="3" t="s">
        <v>82</v>
      </c>
      <c r="AN367" s="3">
        <v>1407.23</v>
      </c>
      <c r="AO367" s="3" t="s">
        <v>58</v>
      </c>
      <c r="AP367" s="3" t="s">
        <v>59</v>
      </c>
      <c r="AQ367" s="3">
        <v>147.1</v>
      </c>
      <c r="AR367" s="3" t="s">
        <v>55</v>
      </c>
      <c r="AS367" s="3" t="s">
        <v>60</v>
      </c>
      <c r="AT367" s="3">
        <v>13.95</v>
      </c>
    </row>
    <row r="368" s="3" customFormat="1" ht="15" customHeight="1" spans="1:46">
      <c r="A368" s="60">
        <v>343</v>
      </c>
      <c r="B368" s="61" t="s">
        <v>740</v>
      </c>
      <c r="C368" s="61" t="s">
        <v>738</v>
      </c>
      <c r="D368" s="61" t="s">
        <v>52</v>
      </c>
      <c r="E368" s="62">
        <v>42449</v>
      </c>
      <c r="F368" s="61">
        <v>45174</v>
      </c>
      <c r="G368" s="61" t="s">
        <v>68</v>
      </c>
      <c r="H368" s="63">
        <v>342</v>
      </c>
      <c r="I368" s="64" t="s">
        <v>55</v>
      </c>
      <c r="J368" s="63" t="s">
        <v>56</v>
      </c>
      <c r="K368" s="65"/>
      <c r="L368" s="66"/>
      <c r="M368" s="67"/>
      <c r="N368" s="67"/>
      <c r="O368" s="67"/>
      <c r="P368" s="68"/>
      <c r="Q368" s="67"/>
      <c r="R368" s="67"/>
      <c r="S368" s="69"/>
      <c r="T368" s="69"/>
      <c r="U368" s="69"/>
      <c r="V368" s="69"/>
      <c r="W368" s="69"/>
      <c r="X368" s="69"/>
      <c r="Y368" s="69"/>
      <c r="Z368" s="69"/>
      <c r="AA368" s="69"/>
      <c r="AB368" s="70"/>
      <c r="AC368" s="69"/>
      <c r="AD368" s="69"/>
      <c r="AE368" s="71"/>
      <c r="AF368" s="69"/>
    </row>
    <row r="369" s="3" customFormat="1" ht="15" customHeight="1" spans="1:46">
      <c r="A369" s="60">
        <v>344</v>
      </c>
      <c r="B369" s="61" t="s">
        <v>741</v>
      </c>
      <c r="C369" s="61" t="s">
        <v>738</v>
      </c>
      <c r="D369" s="61" t="s">
        <v>67</v>
      </c>
      <c r="E369" s="62">
        <v>41647</v>
      </c>
      <c r="F369" s="61">
        <v>45174</v>
      </c>
      <c r="G369" s="61" t="s">
        <v>68</v>
      </c>
      <c r="H369" s="63">
        <v>342</v>
      </c>
      <c r="I369" s="64" t="s">
        <v>55</v>
      </c>
      <c r="J369" s="63" t="s">
        <v>56</v>
      </c>
      <c r="K369" s="65"/>
      <c r="L369" s="66"/>
      <c r="M369" s="67"/>
      <c r="N369" s="67"/>
      <c r="O369" s="67"/>
      <c r="P369" s="68"/>
      <c r="Q369" s="67"/>
      <c r="R369" s="67"/>
      <c r="S369" s="69"/>
      <c r="T369" s="69"/>
      <c r="U369" s="69"/>
      <c r="V369" s="69"/>
      <c r="W369" s="69"/>
      <c r="X369" s="69"/>
      <c r="Y369" s="69"/>
      <c r="Z369" s="69"/>
      <c r="AA369" s="69"/>
      <c r="AB369" s="70"/>
      <c r="AC369" s="69"/>
      <c r="AD369" s="69"/>
      <c r="AE369" s="71"/>
      <c r="AF369" s="69"/>
    </row>
    <row r="370" s="3" customFormat="1" ht="15" customHeight="1" spans="1:46">
      <c r="A370" s="60">
        <v>345</v>
      </c>
      <c r="B370" s="61" t="s">
        <v>733</v>
      </c>
      <c r="C370" s="61" t="s">
        <v>742</v>
      </c>
      <c r="D370" s="61" t="s">
        <v>52</v>
      </c>
      <c r="E370" s="62">
        <v>35517</v>
      </c>
      <c r="F370" s="61">
        <v>20002</v>
      </c>
      <c r="G370" s="61" t="s">
        <v>53</v>
      </c>
      <c r="H370" s="63" t="s">
        <v>54</v>
      </c>
      <c r="I370" s="64" t="s">
        <v>53</v>
      </c>
      <c r="J370" s="63" t="s">
        <v>56</v>
      </c>
      <c r="K370" s="65" t="s">
        <v>57</v>
      </c>
      <c r="L370" s="66">
        <v>1235.83</v>
      </c>
      <c r="M370" s="67" t="s">
        <v>53</v>
      </c>
      <c r="N370" s="67" t="s">
        <v>59</v>
      </c>
      <c r="O370" s="67">
        <v>42.39</v>
      </c>
      <c r="P370" s="68" t="s">
        <v>53</v>
      </c>
      <c r="Q370" s="67" t="s">
        <v>60</v>
      </c>
      <c r="R370" s="67">
        <v>8.22</v>
      </c>
      <c r="S370" s="69" t="s">
        <v>61</v>
      </c>
      <c r="T370" s="69">
        <v>148000</v>
      </c>
      <c r="U370" s="69"/>
      <c r="V370" s="69" t="s">
        <v>62</v>
      </c>
      <c r="W370" s="69">
        <v>4111.32</v>
      </c>
      <c r="X370" s="69"/>
      <c r="Y370" s="69" t="s">
        <v>63</v>
      </c>
      <c r="Z370" s="69">
        <v>854</v>
      </c>
      <c r="AA370" s="69"/>
      <c r="AB370" s="70"/>
      <c r="AC370" s="69" t="s">
        <v>476</v>
      </c>
      <c r="AD370" s="69"/>
      <c r="AE370" s="71">
        <v>76590</v>
      </c>
      <c r="AF370" s="69"/>
      <c r="AG370" s="3" t="str">
        <f t="shared" ref="AG370:AG380" si="14">B370&amp;C370</f>
        <v>MadisonPlaster</v>
      </c>
      <c r="AH370" s="3" t="str">
        <f>VLOOKUP($AG370,[1]Sheet8!$B:$G,1,0)</f>
        <v>MADISONPLASTER</v>
      </c>
      <c r="AI370" s="3" t="str">
        <f>VLOOKUP($AG370,[1]Sheet8!$B:$G,4,0)</f>
        <v>EE</v>
      </c>
      <c r="AJ370" s="3" t="str">
        <f>VLOOKUP($AG370,[1]Sheet8!$B:$G,5,0)</f>
        <v>L093530003</v>
      </c>
      <c r="AK370" s="3">
        <f>VLOOKUP($AG370,[1]Sheet8!$B:$G,6,0)</f>
        <v>8.22</v>
      </c>
      <c r="AL370" s="3" t="s">
        <v>53</v>
      </c>
      <c r="AM370" s="3" t="s">
        <v>57</v>
      </c>
      <c r="AN370" s="3">
        <v>1235.83</v>
      </c>
      <c r="AO370" s="3" t="s">
        <v>53</v>
      </c>
      <c r="AP370" s="3" t="s">
        <v>59</v>
      </c>
      <c r="AQ370" s="3">
        <v>42.39</v>
      </c>
      <c r="AR370" s="3" t="s">
        <v>53</v>
      </c>
      <c r="AS370" s="3" t="s">
        <v>60</v>
      </c>
      <c r="AT370" s="3">
        <v>8.22</v>
      </c>
    </row>
    <row r="371" s="3" customFormat="1" ht="15" customHeight="1" spans="1:46">
      <c r="A371" s="60">
        <v>346</v>
      </c>
      <c r="B371" s="61" t="s">
        <v>743</v>
      </c>
      <c r="C371" s="61" t="s">
        <v>744</v>
      </c>
      <c r="D371" s="61" t="s">
        <v>52</v>
      </c>
      <c r="E371" s="62">
        <v>36344</v>
      </c>
      <c r="F371" s="61">
        <v>11225</v>
      </c>
      <c r="G371" s="61" t="s">
        <v>53</v>
      </c>
      <c r="H371" s="63" t="s">
        <v>54</v>
      </c>
      <c r="I371" s="64" t="s">
        <v>53</v>
      </c>
      <c r="J371" s="63" t="s">
        <v>56</v>
      </c>
      <c r="K371" s="65" t="s">
        <v>57</v>
      </c>
      <c r="L371" s="66">
        <v>1235.83</v>
      </c>
      <c r="M371" s="67" t="s">
        <v>53</v>
      </c>
      <c r="N371" s="67" t="s">
        <v>59</v>
      </c>
      <c r="O371" s="67">
        <v>42.39</v>
      </c>
      <c r="P371" s="68" t="s">
        <v>53</v>
      </c>
      <c r="Q371" s="67" t="s">
        <v>60</v>
      </c>
      <c r="R371" s="67">
        <v>8.22</v>
      </c>
      <c r="S371" s="69" t="s">
        <v>61</v>
      </c>
      <c r="T371" s="69">
        <v>140000</v>
      </c>
      <c r="U371" s="69"/>
      <c r="V371" s="69" t="s">
        <v>62</v>
      </c>
      <c r="W371" s="69">
        <v>3889.08</v>
      </c>
      <c r="X371" s="69"/>
      <c r="Y371" s="69" t="s">
        <v>63</v>
      </c>
      <c r="Z371" s="69">
        <v>808</v>
      </c>
      <c r="AA371" s="69"/>
      <c r="AB371" s="70"/>
      <c r="AC371" s="69" t="s">
        <v>745</v>
      </c>
      <c r="AD371" s="69"/>
      <c r="AE371" s="71">
        <v>72100</v>
      </c>
      <c r="AF371" s="69"/>
      <c r="AG371" s="3" t="str">
        <f t="shared" si="14"/>
        <v>SofiaPretell</v>
      </c>
      <c r="AH371" s="3" t="str">
        <f>VLOOKUP($AG371,[1]Sheet8!$B:$G,1,0)</f>
        <v>SOFIAPRETELL</v>
      </c>
      <c r="AI371" s="3" t="str">
        <f>VLOOKUP($AG371,[1]Sheet8!$B:$G,4,0)</f>
        <v>EE</v>
      </c>
      <c r="AJ371" s="3" t="str">
        <f>VLOOKUP($AG371,[1]Sheet8!$B:$G,5,0)</f>
        <v>L093530003</v>
      </c>
      <c r="AK371" s="3">
        <f>VLOOKUP($AG371,[1]Sheet8!$B:$G,6,0)</f>
        <v>8.22</v>
      </c>
      <c r="AL371" s="3" t="s">
        <v>53</v>
      </c>
      <c r="AM371" s="3" t="s">
        <v>57</v>
      </c>
      <c r="AN371" s="3">
        <v>1235.83</v>
      </c>
      <c r="AO371" s="3" t="s">
        <v>53</v>
      </c>
      <c r="AP371" s="3" t="s">
        <v>59</v>
      </c>
      <c r="AQ371" s="3">
        <v>42.39</v>
      </c>
      <c r="AR371" s="3" t="s">
        <v>53</v>
      </c>
      <c r="AS371" s="3" t="s">
        <v>60</v>
      </c>
      <c r="AT371" s="3">
        <v>8.22</v>
      </c>
    </row>
    <row r="372" s="3" customFormat="1" ht="15" customHeight="1" spans="1:46">
      <c r="A372" s="60">
        <v>347</v>
      </c>
      <c r="B372" s="61" t="s">
        <v>746</v>
      </c>
      <c r="C372" s="61" t="s">
        <v>747</v>
      </c>
      <c r="D372" s="61" t="s">
        <v>67</v>
      </c>
      <c r="E372" s="62">
        <v>25853</v>
      </c>
      <c r="F372" s="61">
        <v>11783</v>
      </c>
      <c r="G372" s="61" t="s">
        <v>53</v>
      </c>
      <c r="H372" s="63" t="s">
        <v>54</v>
      </c>
      <c r="I372" s="64" t="s">
        <v>119</v>
      </c>
      <c r="J372" s="63" t="s">
        <v>56</v>
      </c>
      <c r="K372" s="65"/>
      <c r="L372" s="66"/>
      <c r="M372" s="67"/>
      <c r="N372" s="67"/>
      <c r="O372" s="67"/>
      <c r="P372" s="68"/>
      <c r="Q372" s="67"/>
      <c r="R372" s="67"/>
      <c r="S372" s="69" t="s">
        <v>61</v>
      </c>
      <c r="T372" s="69">
        <v>236000</v>
      </c>
      <c r="U372" s="69"/>
      <c r="V372" s="69" t="s">
        <v>62</v>
      </c>
      <c r="W372" s="69">
        <v>6555.88</v>
      </c>
      <c r="X372" s="69"/>
      <c r="Y372" s="69" t="s">
        <v>63</v>
      </c>
      <c r="Z372" s="69">
        <v>1362</v>
      </c>
      <c r="AA372" s="69"/>
      <c r="AB372" s="70"/>
      <c r="AC372" s="69" t="s">
        <v>110</v>
      </c>
      <c r="AD372" s="69"/>
      <c r="AE372" s="71">
        <v>122130</v>
      </c>
      <c r="AF372" s="69"/>
      <c r="AG372" s="3" t="str">
        <f t="shared" si="14"/>
        <v>RichardPrice</v>
      </c>
      <c r="AH372" s="3" t="e">
        <f>VLOOKUP($AG372,[1]Sheet8!$B:$G,1,0)</f>
        <v>#N/A</v>
      </c>
      <c r="AI372" s="3" t="e">
        <f>VLOOKUP($AG372,[1]Sheet8!$B:$G,4,0)</f>
        <v>#N/A</v>
      </c>
      <c r="AJ372" s="3" t="e">
        <f>VLOOKUP($AG372,[1]Sheet8!$B:$G,5,0)</f>
        <v>#N/A</v>
      </c>
      <c r="AK372" s="3" t="e">
        <f>VLOOKUP($AG372,[1]Sheet8!$B:$G,6,0)</f>
        <v>#N/A</v>
      </c>
    </row>
    <row r="373" s="3" customFormat="1" ht="15" customHeight="1" spans="1:46">
      <c r="A373" s="60">
        <v>348</v>
      </c>
      <c r="B373" s="61" t="s">
        <v>748</v>
      </c>
      <c r="C373" s="61" t="s">
        <v>749</v>
      </c>
      <c r="D373" s="61" t="s">
        <v>52</v>
      </c>
      <c r="E373" s="62">
        <v>35679</v>
      </c>
      <c r="F373" s="61">
        <v>76120</v>
      </c>
      <c r="G373" s="61" t="s">
        <v>53</v>
      </c>
      <c r="H373" s="63" t="s">
        <v>54</v>
      </c>
      <c r="I373" s="64" t="s">
        <v>53</v>
      </c>
      <c r="J373" s="63" t="s">
        <v>56</v>
      </c>
      <c r="K373" s="65" t="s">
        <v>57</v>
      </c>
      <c r="L373" s="66">
        <v>1235.83</v>
      </c>
      <c r="M373" s="67" t="s">
        <v>53</v>
      </c>
      <c r="N373" s="67" t="s">
        <v>59</v>
      </c>
      <c r="O373" s="67">
        <v>42.39</v>
      </c>
      <c r="P373" s="68" t="s">
        <v>53</v>
      </c>
      <c r="Q373" s="67" t="s">
        <v>60</v>
      </c>
      <c r="R373" s="67">
        <v>8.22</v>
      </c>
      <c r="S373" s="69" t="s">
        <v>61</v>
      </c>
      <c r="T373" s="69">
        <v>162000</v>
      </c>
      <c r="U373" s="69"/>
      <c r="V373" s="69" t="s">
        <v>62</v>
      </c>
      <c r="W373" s="69">
        <v>4476.06</v>
      </c>
      <c r="X373" s="69"/>
      <c r="Y373" s="69" t="s">
        <v>63</v>
      </c>
      <c r="Z373" s="69">
        <v>930</v>
      </c>
      <c r="AA373" s="69"/>
      <c r="AB373" s="70"/>
      <c r="AC373" s="69" t="s">
        <v>340</v>
      </c>
      <c r="AD373" s="69"/>
      <c r="AE373" s="71">
        <v>82780</v>
      </c>
      <c r="AF373" s="69"/>
      <c r="AG373" s="3" t="str">
        <f t="shared" si="14"/>
        <v>NataliaQuintana</v>
      </c>
      <c r="AH373" s="3" t="str">
        <f>VLOOKUP($AG373,[1]Sheet8!$B:$G,1,0)</f>
        <v>NATALIAQUINTANA</v>
      </c>
      <c r="AI373" s="3" t="str">
        <f>VLOOKUP($AG373,[1]Sheet8!$B:$G,4,0)</f>
        <v>EE</v>
      </c>
      <c r="AJ373" s="3" t="str">
        <f>VLOOKUP($AG373,[1]Sheet8!$B:$G,5,0)</f>
        <v>L093530003</v>
      </c>
      <c r="AK373" s="3">
        <f>VLOOKUP($AG373,[1]Sheet8!$B:$G,6,0)</f>
        <v>8.22</v>
      </c>
      <c r="AL373" s="3" t="s">
        <v>53</v>
      </c>
      <c r="AM373" s="3" t="s">
        <v>57</v>
      </c>
      <c r="AN373" s="3">
        <v>1235.83</v>
      </c>
      <c r="AO373" s="3" t="s">
        <v>53</v>
      </c>
      <c r="AP373" s="3" t="s">
        <v>59</v>
      </c>
      <c r="AQ373" s="3">
        <v>42.39</v>
      </c>
      <c r="AR373" s="3" t="s">
        <v>53</v>
      </c>
      <c r="AS373" s="3" t="s">
        <v>60</v>
      </c>
      <c r="AT373" s="3">
        <v>8.22</v>
      </c>
    </row>
    <row r="374" s="3" customFormat="1" ht="15" customHeight="1" spans="1:46">
      <c r="A374" s="60">
        <v>349</v>
      </c>
      <c r="B374" s="61" t="s">
        <v>750</v>
      </c>
      <c r="C374" s="61" t="s">
        <v>751</v>
      </c>
      <c r="D374" s="61" t="s">
        <v>52</v>
      </c>
      <c r="E374" s="62">
        <v>35362</v>
      </c>
      <c r="F374" s="61">
        <v>84047</v>
      </c>
      <c r="G374" s="61" t="s">
        <v>53</v>
      </c>
      <c r="H374" s="63" t="s">
        <v>54</v>
      </c>
      <c r="I374" s="64" t="s">
        <v>53</v>
      </c>
      <c r="J374" s="63" t="s">
        <v>56</v>
      </c>
      <c r="K374" s="65" t="s">
        <v>82</v>
      </c>
      <c r="L374" s="66">
        <v>781.79</v>
      </c>
      <c r="M374" s="67" t="s">
        <v>53</v>
      </c>
      <c r="N374" s="67" t="s">
        <v>59</v>
      </c>
      <c r="O374" s="67">
        <v>42.39</v>
      </c>
      <c r="P374" s="68" t="s">
        <v>53</v>
      </c>
      <c r="Q374" s="67" t="s">
        <v>60</v>
      </c>
      <c r="R374" s="67">
        <v>8.22</v>
      </c>
      <c r="S374" s="69" t="s">
        <v>61</v>
      </c>
      <c r="T374" s="69">
        <v>170000</v>
      </c>
      <c r="U374" s="69"/>
      <c r="V374" s="69" t="s">
        <v>62</v>
      </c>
      <c r="W374" s="69">
        <v>4722.46</v>
      </c>
      <c r="X374" s="69"/>
      <c r="Y374" s="69" t="s">
        <v>63</v>
      </c>
      <c r="Z374" s="69">
        <v>981</v>
      </c>
      <c r="AA374" s="69"/>
      <c r="AB374" s="70"/>
      <c r="AC374" s="69" t="s">
        <v>752</v>
      </c>
      <c r="AD374" s="69"/>
      <c r="AE374" s="71">
        <v>85000</v>
      </c>
      <c r="AF374" s="69"/>
      <c r="AG374" s="3" t="str">
        <f t="shared" si="14"/>
        <v>KirstenRasmussen</v>
      </c>
      <c r="AH374" s="3" t="str">
        <f>VLOOKUP($AG374,[1]Sheet8!$B:$G,1,0)</f>
        <v>KIRSTENRASMUSSEN</v>
      </c>
      <c r="AI374" s="3" t="str">
        <f>VLOOKUP($AG374,[1]Sheet8!$B:$G,4,0)</f>
        <v>EE</v>
      </c>
      <c r="AJ374" s="3" t="str">
        <f>VLOOKUP($AG374,[1]Sheet8!$B:$G,5,0)</f>
        <v>L093530003</v>
      </c>
      <c r="AK374" s="3">
        <f>VLOOKUP($AG374,[1]Sheet8!$B:$G,6,0)</f>
        <v>8.22</v>
      </c>
      <c r="AL374" s="3" t="s">
        <v>53</v>
      </c>
      <c r="AM374" s="3" t="s">
        <v>82</v>
      </c>
      <c r="AN374" s="3">
        <v>781.79</v>
      </c>
      <c r="AO374" s="3" t="s">
        <v>53</v>
      </c>
      <c r="AP374" s="3" t="s">
        <v>59</v>
      </c>
      <c r="AQ374" s="3">
        <v>42.39</v>
      </c>
      <c r="AR374" s="3" t="s">
        <v>53</v>
      </c>
      <c r="AS374" s="3" t="s">
        <v>60</v>
      </c>
      <c r="AT374" s="3">
        <v>8.22</v>
      </c>
    </row>
    <row r="375" s="3" customFormat="1" ht="15" customHeight="1" spans="1:46">
      <c r="A375" s="60">
        <v>350</v>
      </c>
      <c r="B375" s="61" t="s">
        <v>69</v>
      </c>
      <c r="C375" s="61" t="s">
        <v>616</v>
      </c>
      <c r="D375" s="61" t="s">
        <v>67</v>
      </c>
      <c r="E375" s="62">
        <v>32071</v>
      </c>
      <c r="F375" s="61">
        <v>78753</v>
      </c>
      <c r="G375" s="61" t="s">
        <v>53</v>
      </c>
      <c r="H375" s="63" t="s">
        <v>54</v>
      </c>
      <c r="I375" s="64" t="s">
        <v>53</v>
      </c>
      <c r="J375" s="63" t="s">
        <v>56</v>
      </c>
      <c r="K375" s="65" t="s">
        <v>57</v>
      </c>
      <c r="L375" s="66">
        <v>1235.83</v>
      </c>
      <c r="M375" s="67" t="s">
        <v>53</v>
      </c>
      <c r="N375" s="67" t="s">
        <v>59</v>
      </c>
      <c r="O375" s="67">
        <v>42.39</v>
      </c>
      <c r="P375" s="68" t="s">
        <v>53</v>
      </c>
      <c r="Q375" s="67" t="s">
        <v>60</v>
      </c>
      <c r="R375" s="67">
        <v>8.22</v>
      </c>
      <c r="S375" s="69" t="s">
        <v>61</v>
      </c>
      <c r="T375" s="69">
        <v>250000</v>
      </c>
      <c r="U375" s="69"/>
      <c r="V375" s="69" t="s">
        <v>62</v>
      </c>
      <c r="W375" s="69">
        <v>7896.12</v>
      </c>
      <c r="X375" s="69"/>
      <c r="Y375" s="69" t="s">
        <v>63</v>
      </c>
      <c r="Z375" s="69">
        <v>1640</v>
      </c>
      <c r="AA375" s="69"/>
      <c r="AB375" s="70"/>
      <c r="AC375" s="69" t="s">
        <v>753</v>
      </c>
      <c r="AD375" s="69"/>
      <c r="AE375" s="71">
        <v>145037</v>
      </c>
      <c r="AF375" s="69"/>
      <c r="AG375" s="3" t="str">
        <f t="shared" si="14"/>
        <v>JohnRay</v>
      </c>
      <c r="AH375" s="3" t="str">
        <f>VLOOKUP($AG375,[1]Sheet8!$B:$G,1,0)</f>
        <v>JOHNRAY</v>
      </c>
      <c r="AI375" s="3" t="str">
        <f>VLOOKUP($AG375,[1]Sheet8!$B:$G,4,0)</f>
        <v>EE</v>
      </c>
      <c r="AJ375" s="3" t="str">
        <f>VLOOKUP($AG375,[1]Sheet8!$B:$G,5,0)</f>
        <v>L093530003</v>
      </c>
      <c r="AK375" s="3">
        <f>VLOOKUP($AG375,[1]Sheet8!$B:$G,6,0)</f>
        <v>8.22</v>
      </c>
      <c r="AL375" s="3" t="s">
        <v>53</v>
      </c>
      <c r="AM375" s="3" t="s">
        <v>57</v>
      </c>
      <c r="AN375" s="3">
        <v>1235.83</v>
      </c>
      <c r="AO375" s="3" t="s">
        <v>53</v>
      </c>
      <c r="AP375" s="3" t="s">
        <v>59</v>
      </c>
      <c r="AQ375" s="3">
        <v>42.39</v>
      </c>
      <c r="AR375" s="3" t="s">
        <v>53</v>
      </c>
      <c r="AS375" s="3" t="s">
        <v>60</v>
      </c>
      <c r="AT375" s="3">
        <v>8.22</v>
      </c>
    </row>
    <row r="376" s="3" customFormat="1" ht="15" customHeight="1" spans="1:46">
      <c r="A376" s="60">
        <v>351</v>
      </c>
      <c r="B376" s="61" t="s">
        <v>251</v>
      </c>
      <c r="C376" s="61" t="s">
        <v>754</v>
      </c>
      <c r="D376" s="61" t="s">
        <v>67</v>
      </c>
      <c r="E376" s="62">
        <v>30290</v>
      </c>
      <c r="F376" s="61">
        <v>60607</v>
      </c>
      <c r="G376" s="61" t="s">
        <v>53</v>
      </c>
      <c r="H376" s="63" t="s">
        <v>54</v>
      </c>
      <c r="I376" s="64" t="s">
        <v>119</v>
      </c>
      <c r="J376" s="63" t="s">
        <v>56</v>
      </c>
      <c r="K376" s="65"/>
      <c r="L376" s="66"/>
      <c r="M376" s="67"/>
      <c r="N376" s="67"/>
      <c r="O376" s="67"/>
      <c r="P376" s="68"/>
      <c r="Q376" s="67"/>
      <c r="R376" s="67"/>
      <c r="S376" s="69" t="s">
        <v>61</v>
      </c>
      <c r="T376" s="69">
        <v>250000</v>
      </c>
      <c r="U376" s="69"/>
      <c r="V376" s="69" t="s">
        <v>62</v>
      </c>
      <c r="W376" s="69">
        <v>10000</v>
      </c>
      <c r="X376" s="69"/>
      <c r="Y376" s="69" t="s">
        <v>63</v>
      </c>
      <c r="Z376" s="69">
        <v>2000</v>
      </c>
      <c r="AA376" s="69"/>
      <c r="AB376" s="70"/>
      <c r="AC376" s="69" t="s">
        <v>755</v>
      </c>
      <c r="AD376" s="69"/>
      <c r="AE376" s="71">
        <v>253380</v>
      </c>
      <c r="AF376" s="69"/>
      <c r="AG376" s="3" t="str">
        <f t="shared" si="14"/>
        <v>JosephRazza</v>
      </c>
      <c r="AH376" s="3" t="e">
        <f>VLOOKUP($AG376,[1]Sheet8!$B:$G,1,0)</f>
        <v>#N/A</v>
      </c>
      <c r="AI376" s="3" t="e">
        <f>VLOOKUP($AG376,[1]Sheet8!$B:$G,4,0)</f>
        <v>#N/A</v>
      </c>
      <c r="AJ376" s="3" t="e">
        <f>VLOOKUP($AG376,[1]Sheet8!$B:$G,5,0)</f>
        <v>#N/A</v>
      </c>
      <c r="AK376" s="3" t="e">
        <f>VLOOKUP($AG376,[1]Sheet8!$B:$G,6,0)</f>
        <v>#N/A</v>
      </c>
    </row>
    <row r="377" s="3" customFormat="1" ht="15" customHeight="1" spans="1:46">
      <c r="A377" s="60">
        <v>352</v>
      </c>
      <c r="B377" s="61" t="s">
        <v>756</v>
      </c>
      <c r="C377" s="61" t="s">
        <v>757</v>
      </c>
      <c r="D377" s="61" t="s">
        <v>67</v>
      </c>
      <c r="E377" s="62">
        <v>33583</v>
      </c>
      <c r="F377" s="61">
        <v>21210</v>
      </c>
      <c r="G377" s="61" t="s">
        <v>53</v>
      </c>
      <c r="H377" s="63" t="s">
        <v>54</v>
      </c>
      <c r="I377" s="64" t="s">
        <v>119</v>
      </c>
      <c r="J377" s="63" t="s">
        <v>56</v>
      </c>
      <c r="K377" s="65"/>
      <c r="L377" s="66"/>
      <c r="M377" s="67"/>
      <c r="N377" s="67"/>
      <c r="O377" s="67"/>
      <c r="P377" s="68"/>
      <c r="Q377" s="67"/>
      <c r="R377" s="67"/>
      <c r="S377" s="69" t="s">
        <v>61</v>
      </c>
      <c r="T377" s="69">
        <v>250000</v>
      </c>
      <c r="U377" s="69"/>
      <c r="V377" s="69" t="s">
        <v>62</v>
      </c>
      <c r="W377" s="69">
        <v>8703.77</v>
      </c>
      <c r="X377" s="69"/>
      <c r="Y377" s="69" t="s">
        <v>63</v>
      </c>
      <c r="Z377" s="69">
        <v>1808</v>
      </c>
      <c r="AA377" s="69"/>
      <c r="AB377" s="70"/>
      <c r="AC377" s="69" t="s">
        <v>758</v>
      </c>
      <c r="AD377" s="69"/>
      <c r="AE377" s="71">
        <v>179218.84</v>
      </c>
      <c r="AF377" s="69"/>
      <c r="AG377" s="3" t="str">
        <f t="shared" si="14"/>
        <v>KennethRebella</v>
      </c>
      <c r="AH377" s="3" t="e">
        <f>VLOOKUP($AG377,[1]Sheet8!$B:$G,1,0)</f>
        <v>#N/A</v>
      </c>
      <c r="AI377" s="3" t="e">
        <f>VLOOKUP($AG377,[1]Sheet8!$B:$G,4,0)</f>
        <v>#N/A</v>
      </c>
      <c r="AJ377" s="3" t="e">
        <f>VLOOKUP($AG377,[1]Sheet8!$B:$G,5,0)</f>
        <v>#N/A</v>
      </c>
      <c r="AK377" s="3" t="e">
        <f>VLOOKUP($AG377,[1]Sheet8!$B:$G,6,0)</f>
        <v>#N/A</v>
      </c>
    </row>
    <row r="378" s="3" customFormat="1" ht="15" customHeight="1" spans="1:46">
      <c r="A378" s="60">
        <v>353</v>
      </c>
      <c r="B378" s="61" t="s">
        <v>759</v>
      </c>
      <c r="C378" s="61" t="s">
        <v>760</v>
      </c>
      <c r="D378" s="61" t="s">
        <v>52</v>
      </c>
      <c r="E378" s="62">
        <v>35439</v>
      </c>
      <c r="F378" s="61">
        <v>76247</v>
      </c>
      <c r="G378" s="61" t="s">
        <v>53</v>
      </c>
      <c r="H378" s="63" t="s">
        <v>54</v>
      </c>
      <c r="I378" s="64" t="s">
        <v>53</v>
      </c>
      <c r="J378" s="63" t="s">
        <v>56</v>
      </c>
      <c r="K378" s="65" t="s">
        <v>82</v>
      </c>
      <c r="L378" s="66">
        <v>781.79</v>
      </c>
      <c r="M378" s="67" t="s">
        <v>53</v>
      </c>
      <c r="N378" s="67" t="s">
        <v>59</v>
      </c>
      <c r="O378" s="67">
        <v>42.39</v>
      </c>
      <c r="P378" s="68" t="s">
        <v>53</v>
      </c>
      <c r="Q378" s="67" t="s">
        <v>60</v>
      </c>
      <c r="R378" s="67">
        <v>8.22</v>
      </c>
      <c r="S378" s="69" t="s">
        <v>61</v>
      </c>
      <c r="T378" s="69">
        <v>229000</v>
      </c>
      <c r="U378" s="69"/>
      <c r="V378" s="69" t="s">
        <v>62</v>
      </c>
      <c r="W378" s="69">
        <v>6337.54</v>
      </c>
      <c r="X378" s="69"/>
      <c r="Y378" s="69" t="s">
        <v>63</v>
      </c>
      <c r="Z378" s="69">
        <v>1316</v>
      </c>
      <c r="AA378" s="69"/>
      <c r="AB378" s="70"/>
      <c r="AC378" s="69" t="s">
        <v>387</v>
      </c>
      <c r="AD378" s="69"/>
      <c r="AE378" s="71">
        <v>117492</v>
      </c>
      <c r="AF378" s="69"/>
      <c r="AG378" s="3" t="str">
        <f t="shared" si="14"/>
        <v>Bhagya LakshmiReddy</v>
      </c>
      <c r="AH378" s="3" t="str">
        <f>VLOOKUP($AG378,[1]Sheet8!$B:$G,1,0)</f>
        <v>BHAGYA LakshmiREDDY</v>
      </c>
      <c r="AI378" s="3" t="str">
        <f>VLOOKUP($AG378,[1]Sheet8!$B:$G,4,0)</f>
        <v>EE</v>
      </c>
      <c r="AJ378" s="3" t="str">
        <f>VLOOKUP($AG378,[1]Sheet8!$B:$G,5,0)</f>
        <v>L093530003</v>
      </c>
      <c r="AK378" s="3">
        <f>VLOOKUP($AG378,[1]Sheet8!$B:$G,6,0)</f>
        <v>8.22</v>
      </c>
      <c r="AL378" s="3" t="s">
        <v>53</v>
      </c>
      <c r="AM378" s="3" t="s">
        <v>82</v>
      </c>
      <c r="AN378" s="3">
        <v>781.79</v>
      </c>
      <c r="AO378" s="3" t="s">
        <v>53</v>
      </c>
      <c r="AP378" s="3" t="s">
        <v>59</v>
      </c>
      <c r="AQ378" s="3">
        <v>42.39</v>
      </c>
      <c r="AR378" s="3" t="s">
        <v>53</v>
      </c>
      <c r="AS378" s="3" t="s">
        <v>60</v>
      </c>
      <c r="AT378" s="3">
        <v>8.22</v>
      </c>
    </row>
    <row r="379" s="3" customFormat="1" ht="15" customHeight="1" spans="1:46">
      <c r="A379" s="60">
        <v>354</v>
      </c>
      <c r="B379" s="61" t="s">
        <v>761</v>
      </c>
      <c r="C379" s="61" t="s">
        <v>762</v>
      </c>
      <c r="D379" s="61" t="s">
        <v>67</v>
      </c>
      <c r="E379" s="62">
        <v>33823</v>
      </c>
      <c r="F379" s="61">
        <v>60618</v>
      </c>
      <c r="G379" s="61" t="s">
        <v>53</v>
      </c>
      <c r="H379" s="63" t="s">
        <v>54</v>
      </c>
      <c r="I379" s="64" t="s">
        <v>53</v>
      </c>
      <c r="J379" s="63" t="s">
        <v>56</v>
      </c>
      <c r="K379" s="65" t="s">
        <v>57</v>
      </c>
      <c r="L379" s="66">
        <v>1235.83</v>
      </c>
      <c r="M379" s="67" t="s">
        <v>53</v>
      </c>
      <c r="N379" s="67" t="s">
        <v>59</v>
      </c>
      <c r="O379" s="67">
        <v>42.39</v>
      </c>
      <c r="P379" s="68" t="s">
        <v>81</v>
      </c>
      <c r="Q379" s="67" t="s">
        <v>60</v>
      </c>
      <c r="R379" s="67">
        <v>16.48</v>
      </c>
      <c r="S379" s="69" t="s">
        <v>61</v>
      </c>
      <c r="T379" s="69">
        <v>200000</v>
      </c>
      <c r="U379" s="69"/>
      <c r="V379" s="69" t="s">
        <v>62</v>
      </c>
      <c r="W379" s="69">
        <v>5529.67</v>
      </c>
      <c r="X379" s="69"/>
      <c r="Y379" s="69" t="s">
        <v>63</v>
      </c>
      <c r="Z379" s="69">
        <v>1148</v>
      </c>
      <c r="AA379" s="69"/>
      <c r="AB379" s="70"/>
      <c r="AC379" s="69" t="s">
        <v>763</v>
      </c>
      <c r="AD379" s="69"/>
      <c r="AE379" s="71">
        <v>102266</v>
      </c>
      <c r="AF379" s="69"/>
      <c r="AG379" s="3" t="str">
        <f t="shared" si="14"/>
        <v>BrianReitz</v>
      </c>
      <c r="AH379" s="3" t="str">
        <f>VLOOKUP($AG379,[1]Sheet8!$B:$G,1,0)</f>
        <v>BRIANREITZ</v>
      </c>
      <c r="AI379" s="3" t="str">
        <f>VLOOKUP($AG379,[1]Sheet8!$B:$G,4,0)</f>
        <v>ES</v>
      </c>
      <c r="AJ379" s="3" t="str">
        <f>VLOOKUP($AG379,[1]Sheet8!$B:$G,5,0)</f>
        <v>L093530003</v>
      </c>
      <c r="AK379" s="3">
        <f>VLOOKUP($AG379,[1]Sheet8!$B:$G,6,0)</f>
        <v>16.48</v>
      </c>
      <c r="AL379" s="3" t="s">
        <v>53</v>
      </c>
      <c r="AM379" s="3" t="s">
        <v>57</v>
      </c>
      <c r="AN379" s="3">
        <v>1235.83</v>
      </c>
      <c r="AO379" s="3" t="s">
        <v>53</v>
      </c>
      <c r="AP379" s="3" t="s">
        <v>59</v>
      </c>
      <c r="AQ379" s="3">
        <v>42.39</v>
      </c>
      <c r="AR379" s="3" t="s">
        <v>81</v>
      </c>
      <c r="AS379" s="3" t="s">
        <v>60</v>
      </c>
      <c r="AT379" s="3">
        <v>16.48</v>
      </c>
    </row>
    <row r="380" s="3" customFormat="1" ht="15" customHeight="1" spans="1:46">
      <c r="A380" s="60">
        <v>355</v>
      </c>
      <c r="B380" s="61" t="s">
        <v>181</v>
      </c>
      <c r="C380" s="61" t="s">
        <v>764</v>
      </c>
      <c r="D380" s="61" t="s">
        <v>67</v>
      </c>
      <c r="E380" s="62">
        <v>33620</v>
      </c>
      <c r="F380" s="61">
        <v>73012</v>
      </c>
      <c r="G380" s="61" t="s">
        <v>53</v>
      </c>
      <c r="H380" s="63" t="s">
        <v>54</v>
      </c>
      <c r="I380" s="64" t="s">
        <v>58</v>
      </c>
      <c r="J380" s="63" t="s">
        <v>56</v>
      </c>
      <c r="K380" s="65" t="s">
        <v>82</v>
      </c>
      <c r="L380" s="66">
        <v>2423.56</v>
      </c>
      <c r="M380" s="67" t="s">
        <v>58</v>
      </c>
      <c r="N380" s="67" t="s">
        <v>59</v>
      </c>
      <c r="O380" s="67">
        <v>147.1</v>
      </c>
      <c r="P380" s="68" t="s">
        <v>58</v>
      </c>
      <c r="Q380" s="67" t="s">
        <v>60</v>
      </c>
      <c r="R380" s="67">
        <v>23</v>
      </c>
      <c r="S380" s="69" t="s">
        <v>61</v>
      </c>
      <c r="T380" s="69">
        <v>206000</v>
      </c>
      <c r="U380" s="69"/>
      <c r="V380" s="69" t="s">
        <v>62</v>
      </c>
      <c r="W380" s="69">
        <v>5722.51</v>
      </c>
      <c r="X380" s="69"/>
      <c r="Y380" s="69" t="s">
        <v>63</v>
      </c>
      <c r="Z380" s="69">
        <v>1188</v>
      </c>
      <c r="AA380" s="69"/>
      <c r="AB380" s="70"/>
      <c r="AC380" s="69" t="s">
        <v>460</v>
      </c>
      <c r="AD380" s="69"/>
      <c r="AE380" s="71">
        <v>106090</v>
      </c>
      <c r="AF380" s="69"/>
      <c r="AG380" s="3" t="str">
        <f t="shared" si="14"/>
        <v>RyanResnick</v>
      </c>
      <c r="AH380" s="3" t="str">
        <f>VLOOKUP($AG380,[1]Sheet8!$B:$G,1,0)</f>
        <v>RYANRESNICK</v>
      </c>
      <c r="AI380" s="3" t="str">
        <f>VLOOKUP($AG380,[1]Sheet8!$B:$G,4,0)</f>
        <v>FAM</v>
      </c>
      <c r="AJ380" s="3" t="str">
        <f>VLOOKUP($AG380,[1]Sheet8!$B:$G,5,0)</f>
        <v>L093530003</v>
      </c>
      <c r="AK380" s="3">
        <f>VLOOKUP($AG380,[1]Sheet8!$B:$G,6,0)</f>
        <v>23</v>
      </c>
      <c r="AL380" s="3" t="s">
        <v>58</v>
      </c>
      <c r="AM380" s="3" t="s">
        <v>82</v>
      </c>
      <c r="AN380" s="3">
        <v>2423.56</v>
      </c>
      <c r="AO380" s="3" t="s">
        <v>58</v>
      </c>
      <c r="AP380" s="3" t="s">
        <v>59</v>
      </c>
      <c r="AQ380" s="3">
        <v>147.1</v>
      </c>
      <c r="AR380" s="3" t="s">
        <v>58</v>
      </c>
      <c r="AS380" s="3" t="s">
        <v>60</v>
      </c>
      <c r="AT380" s="3">
        <v>23</v>
      </c>
    </row>
    <row r="381" s="3" customFormat="1" ht="15" customHeight="1" spans="1:46">
      <c r="A381" s="60">
        <v>356</v>
      </c>
      <c r="B381" s="61" t="s">
        <v>651</v>
      </c>
      <c r="C381" s="61" t="s">
        <v>764</v>
      </c>
      <c r="D381" s="61" t="s">
        <v>67</v>
      </c>
      <c r="E381" s="62">
        <v>45915</v>
      </c>
      <c r="F381" s="61">
        <v>73012</v>
      </c>
      <c r="G381" s="61" t="s">
        <v>68</v>
      </c>
      <c r="H381" s="63">
        <v>355</v>
      </c>
      <c r="I381" s="64" t="s">
        <v>58</v>
      </c>
      <c r="J381" s="63" t="s">
        <v>56</v>
      </c>
      <c r="K381" s="65"/>
      <c r="L381" s="66"/>
      <c r="M381" s="67"/>
      <c r="N381" s="67"/>
      <c r="O381" s="67"/>
      <c r="P381" s="68"/>
      <c r="Q381" s="67"/>
      <c r="R381" s="67"/>
      <c r="S381" s="69"/>
      <c r="T381" s="69"/>
      <c r="U381" s="69"/>
      <c r="V381" s="69"/>
      <c r="W381" s="69"/>
      <c r="X381" s="69"/>
      <c r="Y381" s="69"/>
      <c r="Z381" s="69"/>
      <c r="AA381" s="69"/>
      <c r="AB381" s="70"/>
      <c r="AC381" s="69"/>
      <c r="AD381" s="69"/>
      <c r="AE381" s="71"/>
      <c r="AF381" s="69"/>
    </row>
    <row r="382" s="3" customFormat="1" ht="15" customHeight="1" spans="1:46">
      <c r="A382" s="60">
        <v>357</v>
      </c>
      <c r="B382" s="61" t="s">
        <v>765</v>
      </c>
      <c r="C382" s="61" t="s">
        <v>764</v>
      </c>
      <c r="D382" s="61" t="s">
        <v>67</v>
      </c>
      <c r="E382" s="62">
        <v>45428</v>
      </c>
      <c r="F382" s="61">
        <v>73012</v>
      </c>
      <c r="G382" s="61" t="s">
        <v>68</v>
      </c>
      <c r="H382" s="63">
        <v>355</v>
      </c>
      <c r="I382" s="64" t="s">
        <v>58</v>
      </c>
      <c r="J382" s="63" t="s">
        <v>56</v>
      </c>
      <c r="K382" s="65"/>
      <c r="L382" s="66"/>
      <c r="M382" s="67"/>
      <c r="N382" s="67"/>
      <c r="O382" s="67"/>
      <c r="P382" s="68"/>
      <c r="Q382" s="67"/>
      <c r="R382" s="67"/>
      <c r="S382" s="69"/>
      <c r="T382" s="69"/>
      <c r="U382" s="69"/>
      <c r="V382" s="69"/>
      <c r="W382" s="69"/>
      <c r="X382" s="69"/>
      <c r="Y382" s="69"/>
      <c r="Z382" s="69"/>
      <c r="AA382" s="69"/>
      <c r="AB382" s="70"/>
      <c r="AC382" s="69"/>
      <c r="AD382" s="69"/>
      <c r="AE382" s="71"/>
      <c r="AF382" s="69"/>
    </row>
    <row r="383" s="3" customFormat="1" ht="15" customHeight="1" spans="1:46">
      <c r="A383" s="60">
        <v>358</v>
      </c>
      <c r="B383" s="61" t="s">
        <v>766</v>
      </c>
      <c r="C383" s="61" t="s">
        <v>764</v>
      </c>
      <c r="D383" s="61" t="s">
        <v>52</v>
      </c>
      <c r="E383" s="62">
        <v>33252</v>
      </c>
      <c r="F383" s="61">
        <v>73012</v>
      </c>
      <c r="G383" s="61" t="s">
        <v>85</v>
      </c>
      <c r="H383" s="63">
        <v>355</v>
      </c>
      <c r="I383" s="64" t="s">
        <v>58</v>
      </c>
      <c r="J383" s="63" t="s">
        <v>56</v>
      </c>
      <c r="K383" s="65"/>
      <c r="L383" s="66"/>
      <c r="M383" s="67"/>
      <c r="N383" s="67"/>
      <c r="O383" s="67"/>
      <c r="P383" s="68"/>
      <c r="Q383" s="67"/>
      <c r="R383" s="67"/>
      <c r="S383" s="69"/>
      <c r="T383" s="69"/>
      <c r="U383" s="69"/>
      <c r="V383" s="69"/>
      <c r="W383" s="69"/>
      <c r="X383" s="69"/>
      <c r="Y383" s="69"/>
      <c r="Z383" s="69"/>
      <c r="AA383" s="69"/>
      <c r="AB383" s="70"/>
      <c r="AC383" s="69"/>
      <c r="AD383" s="69"/>
      <c r="AE383" s="71"/>
      <c r="AF383" s="69"/>
    </row>
    <row r="384" s="3" customFormat="1" ht="15" customHeight="1" spans="1:46">
      <c r="A384" s="60">
        <v>359</v>
      </c>
      <c r="B384" s="61" t="s">
        <v>767</v>
      </c>
      <c r="C384" s="61" t="s">
        <v>764</v>
      </c>
      <c r="D384" s="61" t="s">
        <v>52</v>
      </c>
      <c r="E384" s="62">
        <v>44405</v>
      </c>
      <c r="F384" s="61">
        <v>73012</v>
      </c>
      <c r="G384" s="61" t="s">
        <v>68</v>
      </c>
      <c r="H384" s="63">
        <v>355</v>
      </c>
      <c r="I384" s="64" t="s">
        <v>58</v>
      </c>
      <c r="J384" s="63" t="s">
        <v>56</v>
      </c>
      <c r="K384" s="65"/>
      <c r="L384" s="66"/>
      <c r="M384" s="67"/>
      <c r="N384" s="67"/>
      <c r="O384" s="67"/>
      <c r="P384" s="68"/>
      <c r="Q384" s="67"/>
      <c r="R384" s="67"/>
      <c r="S384" s="69"/>
      <c r="T384" s="69"/>
      <c r="U384" s="69"/>
      <c r="V384" s="69"/>
      <c r="W384" s="69"/>
      <c r="X384" s="69"/>
      <c r="Y384" s="69"/>
      <c r="Z384" s="69"/>
      <c r="AA384" s="69"/>
      <c r="AB384" s="70"/>
      <c r="AC384" s="69"/>
      <c r="AD384" s="69"/>
      <c r="AE384" s="71"/>
      <c r="AF384" s="69"/>
    </row>
    <row r="385" s="3" customFormat="1" ht="15" customHeight="1" spans="1:46">
      <c r="A385" s="60">
        <v>360</v>
      </c>
      <c r="B385" s="61" t="s">
        <v>768</v>
      </c>
      <c r="C385" s="61" t="s">
        <v>769</v>
      </c>
      <c r="D385" s="61" t="s">
        <v>52</v>
      </c>
      <c r="E385" s="62">
        <v>37419</v>
      </c>
      <c r="F385" s="61">
        <v>80222</v>
      </c>
      <c r="G385" s="61" t="s">
        <v>53</v>
      </c>
      <c r="H385" s="63" t="s">
        <v>54</v>
      </c>
      <c r="I385" s="64" t="s">
        <v>119</v>
      </c>
      <c r="J385" s="63" t="s">
        <v>56</v>
      </c>
      <c r="K385" s="65"/>
      <c r="L385" s="66"/>
      <c r="M385" s="67" t="s">
        <v>53</v>
      </c>
      <c r="N385" s="67" t="s">
        <v>59</v>
      </c>
      <c r="O385" s="67">
        <v>42.39</v>
      </c>
      <c r="P385" s="68" t="s">
        <v>53</v>
      </c>
      <c r="Q385" s="67" t="s">
        <v>60</v>
      </c>
      <c r="R385" s="67">
        <v>8.22</v>
      </c>
      <c r="S385" s="69" t="s">
        <v>61</v>
      </c>
      <c r="T385" s="69">
        <v>160000</v>
      </c>
      <c r="U385" s="69"/>
      <c r="V385" s="69" t="s">
        <v>62</v>
      </c>
      <c r="W385" s="69">
        <v>4444.67</v>
      </c>
      <c r="X385" s="69"/>
      <c r="Y385" s="69" t="s">
        <v>63</v>
      </c>
      <c r="Z385" s="69">
        <v>923</v>
      </c>
      <c r="AA385" s="69"/>
      <c r="AB385" s="70"/>
      <c r="AC385" s="69" t="s">
        <v>770</v>
      </c>
      <c r="AD385" s="69"/>
      <c r="AE385" s="71">
        <v>82400</v>
      </c>
      <c r="AF385" s="69"/>
      <c r="AG385" s="3" t="str">
        <f>B385&amp;C385</f>
        <v>FrancescaRex</v>
      </c>
      <c r="AH385" s="3" t="str">
        <f>VLOOKUP($AG385,[1]Sheet8!$B:$G,1,0)</f>
        <v>FRANCESCAREX</v>
      </c>
      <c r="AI385" s="3" t="str">
        <f>VLOOKUP($AG385,[1]Sheet8!$B:$G,4,0)</f>
        <v>EE</v>
      </c>
      <c r="AJ385" s="3" t="str">
        <f>VLOOKUP($AG385,[1]Sheet8!$B:$G,5,0)</f>
        <v>L093530003</v>
      </c>
      <c r="AK385" s="3">
        <f>VLOOKUP($AG385,[1]Sheet8!$B:$G,6,0)</f>
        <v>8.22</v>
      </c>
      <c r="AO385" s="3" t="s">
        <v>53</v>
      </c>
      <c r="AP385" s="3" t="s">
        <v>59</v>
      </c>
      <c r="AQ385" s="3">
        <v>42.39</v>
      </c>
      <c r="AR385" s="3" t="s">
        <v>53</v>
      </c>
      <c r="AS385" s="3" t="s">
        <v>60</v>
      </c>
      <c r="AT385" s="3">
        <v>8.22</v>
      </c>
    </row>
    <row r="386" s="3" customFormat="1" ht="15" customHeight="1" spans="1:46">
      <c r="A386" s="60">
        <v>361</v>
      </c>
      <c r="B386" s="61" t="s">
        <v>290</v>
      </c>
      <c r="C386" s="61" t="s">
        <v>771</v>
      </c>
      <c r="D386" s="61" t="s">
        <v>67</v>
      </c>
      <c r="E386" s="62">
        <v>30756</v>
      </c>
      <c r="F386" s="61">
        <v>19702</v>
      </c>
      <c r="G386" s="61" t="s">
        <v>53</v>
      </c>
      <c r="H386" s="63" t="s">
        <v>54</v>
      </c>
      <c r="I386" s="64" t="s">
        <v>58</v>
      </c>
      <c r="J386" s="63" t="s">
        <v>56</v>
      </c>
      <c r="K386" s="65" t="s">
        <v>57</v>
      </c>
      <c r="L386" s="66">
        <v>3831.06</v>
      </c>
      <c r="M386" s="67" t="s">
        <v>58</v>
      </c>
      <c r="N386" s="67" t="s">
        <v>59</v>
      </c>
      <c r="O386" s="67">
        <v>147.1</v>
      </c>
      <c r="P386" s="68" t="s">
        <v>58</v>
      </c>
      <c r="Q386" s="67" t="s">
        <v>60</v>
      </c>
      <c r="R386" s="67">
        <v>23</v>
      </c>
      <c r="S386" s="69" t="s">
        <v>61</v>
      </c>
      <c r="T386" s="69">
        <v>170000</v>
      </c>
      <c r="U386" s="69"/>
      <c r="V386" s="69" t="s">
        <v>62</v>
      </c>
      <c r="W386" s="69">
        <v>4704.96</v>
      </c>
      <c r="X386" s="69"/>
      <c r="Y386" s="69" t="s">
        <v>63</v>
      </c>
      <c r="Z386" s="69">
        <v>977</v>
      </c>
      <c r="AA386" s="69"/>
      <c r="AB386" s="70"/>
      <c r="AC386" s="69" t="s">
        <v>144</v>
      </c>
      <c r="AD386" s="69"/>
      <c r="AE386" s="71">
        <v>87226</v>
      </c>
      <c r="AF386" s="69"/>
      <c r="AG386" s="3" t="str">
        <f>B386&amp;C386</f>
        <v>IanRitchie</v>
      </c>
      <c r="AH386" s="3" t="str">
        <f>VLOOKUP($AG386,[1]Sheet8!$B:$G,1,0)</f>
        <v>IANRITCHIE</v>
      </c>
      <c r="AI386" s="3" t="str">
        <f>VLOOKUP($AG386,[1]Sheet8!$B:$G,4,0)</f>
        <v>FAM</v>
      </c>
      <c r="AJ386" s="3" t="str">
        <f>VLOOKUP($AG386,[1]Sheet8!$B:$G,5,0)</f>
        <v>L093530003</v>
      </c>
      <c r="AK386" s="3">
        <f>VLOOKUP($AG386,[1]Sheet8!$B:$G,6,0)</f>
        <v>23</v>
      </c>
      <c r="AL386" s="3" t="s">
        <v>58</v>
      </c>
      <c r="AM386" s="3" t="s">
        <v>57</v>
      </c>
      <c r="AN386" s="3">
        <v>3831.06</v>
      </c>
      <c r="AO386" s="3" t="s">
        <v>58</v>
      </c>
      <c r="AP386" s="3" t="s">
        <v>59</v>
      </c>
      <c r="AQ386" s="3">
        <v>147.1</v>
      </c>
      <c r="AR386" s="3" t="s">
        <v>58</v>
      </c>
      <c r="AS386" s="3" t="s">
        <v>60</v>
      </c>
      <c r="AT386" s="3">
        <v>23</v>
      </c>
    </row>
    <row r="387" s="3" customFormat="1" ht="15" customHeight="1" spans="1:46">
      <c r="A387" s="60">
        <v>362</v>
      </c>
      <c r="B387" s="61" t="s">
        <v>772</v>
      </c>
      <c r="C387" s="61" t="s">
        <v>771</v>
      </c>
      <c r="D387" s="61" t="s">
        <v>67</v>
      </c>
      <c r="E387" s="62">
        <v>44612</v>
      </c>
      <c r="F387" s="61">
        <v>19702</v>
      </c>
      <c r="G387" s="61" t="s">
        <v>68</v>
      </c>
      <c r="H387" s="63">
        <v>361</v>
      </c>
      <c r="I387" s="64" t="s">
        <v>58</v>
      </c>
      <c r="J387" s="63" t="s">
        <v>56</v>
      </c>
      <c r="K387" s="65"/>
      <c r="L387" s="66"/>
      <c r="M387" s="67"/>
      <c r="N387" s="67"/>
      <c r="O387" s="67"/>
      <c r="P387" s="68"/>
      <c r="Q387" s="67"/>
      <c r="R387" s="67"/>
      <c r="S387" s="69"/>
      <c r="T387" s="69"/>
      <c r="U387" s="69"/>
      <c r="V387" s="69"/>
      <c r="W387" s="69"/>
      <c r="X387" s="69"/>
      <c r="Y387" s="69"/>
      <c r="Z387" s="69"/>
      <c r="AA387" s="69"/>
      <c r="AB387" s="70"/>
      <c r="AC387" s="69"/>
      <c r="AD387" s="69"/>
      <c r="AE387" s="71"/>
      <c r="AF387" s="69"/>
    </row>
    <row r="388" s="3" customFormat="1" ht="15" customHeight="1" spans="1:46">
      <c r="A388" s="60">
        <v>363</v>
      </c>
      <c r="B388" s="61" t="s">
        <v>773</v>
      </c>
      <c r="C388" s="61" t="s">
        <v>774</v>
      </c>
      <c r="D388" s="61" t="s">
        <v>52</v>
      </c>
      <c r="E388" s="62">
        <v>28562</v>
      </c>
      <c r="F388" s="61">
        <v>19702</v>
      </c>
      <c r="G388" s="61" t="s">
        <v>85</v>
      </c>
      <c r="H388" s="63">
        <v>361</v>
      </c>
      <c r="I388" s="64" t="s">
        <v>58</v>
      </c>
      <c r="J388" s="63" t="s">
        <v>56</v>
      </c>
      <c r="K388" s="65"/>
      <c r="L388" s="66"/>
      <c r="M388" s="67"/>
      <c r="N388" s="67"/>
      <c r="O388" s="67"/>
      <c r="P388" s="68"/>
      <c r="Q388" s="67"/>
      <c r="R388" s="67"/>
      <c r="S388" s="69"/>
      <c r="T388" s="69"/>
      <c r="U388" s="69"/>
      <c r="V388" s="69"/>
      <c r="W388" s="69"/>
      <c r="X388" s="69"/>
      <c r="Y388" s="69"/>
      <c r="Z388" s="69"/>
      <c r="AA388" s="69"/>
      <c r="AB388" s="70"/>
      <c r="AC388" s="69"/>
      <c r="AD388" s="69"/>
      <c r="AE388" s="71"/>
      <c r="AF388" s="69"/>
    </row>
    <row r="389" s="3" customFormat="1" ht="15" customHeight="1" spans="1:46">
      <c r="A389" s="60">
        <v>364</v>
      </c>
      <c r="B389" s="61" t="s">
        <v>775</v>
      </c>
      <c r="C389" s="61" t="s">
        <v>771</v>
      </c>
      <c r="D389" s="61" t="s">
        <v>52</v>
      </c>
      <c r="E389" s="62">
        <v>26030</v>
      </c>
      <c r="F389" s="61">
        <v>28115</v>
      </c>
      <c r="G389" s="61" t="s">
        <v>53</v>
      </c>
      <c r="H389" s="63" t="s">
        <v>54</v>
      </c>
      <c r="I389" s="64" t="s">
        <v>81</v>
      </c>
      <c r="J389" s="63" t="s">
        <v>56</v>
      </c>
      <c r="K389" s="65" t="s">
        <v>57</v>
      </c>
      <c r="L389" s="66">
        <v>2718.81</v>
      </c>
      <c r="M389" s="67" t="s">
        <v>81</v>
      </c>
      <c r="N389" s="67" t="s">
        <v>59</v>
      </c>
      <c r="O389" s="67">
        <v>84.72</v>
      </c>
      <c r="P389" s="68" t="s">
        <v>81</v>
      </c>
      <c r="Q389" s="67" t="s">
        <v>60</v>
      </c>
      <c r="R389" s="67">
        <v>16.48</v>
      </c>
      <c r="S389" s="69" t="s">
        <v>61</v>
      </c>
      <c r="T389" s="69">
        <v>198000</v>
      </c>
      <c r="U389" s="69"/>
      <c r="V389" s="69" t="s">
        <v>62</v>
      </c>
      <c r="W389" s="69">
        <v>5473.33</v>
      </c>
      <c r="X389" s="69"/>
      <c r="Y389" s="69" t="s">
        <v>63</v>
      </c>
      <c r="Z389" s="69">
        <v>1137</v>
      </c>
      <c r="AA389" s="69"/>
      <c r="AB389" s="70"/>
      <c r="AC389" s="69" t="s">
        <v>776</v>
      </c>
      <c r="AD389" s="69"/>
      <c r="AE389" s="71">
        <v>101470</v>
      </c>
      <c r="AF389" s="69"/>
      <c r="AG389" s="3" t="str">
        <f>B389&amp;C389</f>
        <v>GingerRitchie</v>
      </c>
      <c r="AH389" s="3" t="str">
        <f>VLOOKUP($AG389,[1]Sheet8!$B:$G,1,0)</f>
        <v>GINGERRITCHIE</v>
      </c>
      <c r="AI389" s="3" t="str">
        <f>VLOOKUP($AG389,[1]Sheet8!$B:$G,4,0)</f>
        <v>ES</v>
      </c>
      <c r="AJ389" s="3" t="str">
        <f>VLOOKUP($AG389,[1]Sheet8!$B:$G,5,0)</f>
        <v>L093530003</v>
      </c>
      <c r="AK389" s="3">
        <f>VLOOKUP($AG389,[1]Sheet8!$B:$G,6,0)</f>
        <v>16.48</v>
      </c>
      <c r="AL389" s="3" t="s">
        <v>81</v>
      </c>
      <c r="AM389" s="3" t="s">
        <v>57</v>
      </c>
      <c r="AN389" s="3">
        <v>2718.81</v>
      </c>
      <c r="AO389" s="3" t="s">
        <v>81</v>
      </c>
      <c r="AP389" s="3" t="s">
        <v>59</v>
      </c>
      <c r="AQ389" s="3">
        <v>84.72</v>
      </c>
      <c r="AR389" s="3" t="s">
        <v>81</v>
      </c>
      <c r="AS389" s="3" t="s">
        <v>60</v>
      </c>
      <c r="AT389" s="3">
        <v>16.48</v>
      </c>
    </row>
    <row r="390" s="3" customFormat="1" ht="15" customHeight="1" spans="1:46">
      <c r="A390" s="60">
        <v>365</v>
      </c>
      <c r="B390" s="61" t="s">
        <v>229</v>
      </c>
      <c r="C390" s="61" t="s">
        <v>771</v>
      </c>
      <c r="D390" s="61" t="s">
        <v>67</v>
      </c>
      <c r="E390" s="62">
        <v>26832</v>
      </c>
      <c r="F390" s="61">
        <v>28115</v>
      </c>
      <c r="G390" s="61" t="s">
        <v>85</v>
      </c>
      <c r="H390" s="63">
        <v>364</v>
      </c>
      <c r="I390" s="64" t="s">
        <v>81</v>
      </c>
      <c r="J390" s="63" t="s">
        <v>56</v>
      </c>
      <c r="K390" s="65"/>
      <c r="L390" s="66"/>
      <c r="M390" s="67"/>
      <c r="N390" s="67"/>
      <c r="O390" s="67"/>
      <c r="P390" s="68"/>
      <c r="Q390" s="67"/>
      <c r="R390" s="67"/>
      <c r="S390" s="69"/>
      <c r="T390" s="69"/>
      <c r="U390" s="69"/>
      <c r="V390" s="69"/>
      <c r="W390" s="69"/>
      <c r="X390" s="69"/>
      <c r="Y390" s="69"/>
      <c r="Z390" s="69"/>
      <c r="AA390" s="69"/>
      <c r="AB390" s="70"/>
      <c r="AC390" s="69"/>
      <c r="AD390" s="69"/>
      <c r="AE390" s="71"/>
      <c r="AF390" s="69"/>
    </row>
    <row r="391" s="3" customFormat="1" ht="15" customHeight="1" spans="1:46">
      <c r="A391" s="60">
        <v>366</v>
      </c>
      <c r="B391" s="61" t="s">
        <v>777</v>
      </c>
      <c r="C391" s="61" t="s">
        <v>778</v>
      </c>
      <c r="D391" s="61" t="s">
        <v>67</v>
      </c>
      <c r="E391" s="62">
        <v>32107</v>
      </c>
      <c r="F391" s="61">
        <v>10455</v>
      </c>
      <c r="G391" s="61" t="s">
        <v>53</v>
      </c>
      <c r="H391" s="63" t="s">
        <v>54</v>
      </c>
      <c r="I391" s="64" t="s">
        <v>53</v>
      </c>
      <c r="J391" s="63" t="s">
        <v>56</v>
      </c>
      <c r="K391" s="65" t="s">
        <v>57</v>
      </c>
      <c r="L391" s="66">
        <v>1235.83</v>
      </c>
      <c r="M391" s="67" t="s">
        <v>53</v>
      </c>
      <c r="N391" s="67" t="s">
        <v>59</v>
      </c>
      <c r="O391" s="67">
        <v>42.39</v>
      </c>
      <c r="P391" s="68" t="s">
        <v>53</v>
      </c>
      <c r="Q391" s="67" t="s">
        <v>60</v>
      </c>
      <c r="R391" s="67">
        <v>8.22</v>
      </c>
      <c r="S391" s="69" t="s">
        <v>61</v>
      </c>
      <c r="T391" s="69">
        <v>163000</v>
      </c>
      <c r="U391" s="69"/>
      <c r="V391" s="69" t="s">
        <v>62</v>
      </c>
      <c r="W391" s="69">
        <v>4524.12</v>
      </c>
      <c r="X391" s="69"/>
      <c r="Y391" s="69" t="s">
        <v>63</v>
      </c>
      <c r="Z391" s="69">
        <v>940</v>
      </c>
      <c r="AA391" s="69"/>
      <c r="AB391" s="70"/>
      <c r="AC391" s="69" t="s">
        <v>779</v>
      </c>
      <c r="AD391" s="69"/>
      <c r="AE391" s="71">
        <v>83873</v>
      </c>
      <c r="AF391" s="69"/>
      <c r="AG391" s="3" t="str">
        <f>B391&amp;C391</f>
        <v>ArielRivera</v>
      </c>
      <c r="AH391" s="3" t="str">
        <f>VLOOKUP($AG391,[1]Sheet8!$B:$G,1,0)</f>
        <v>ARIELRIVERA</v>
      </c>
      <c r="AI391" s="3" t="str">
        <f>VLOOKUP($AG391,[1]Sheet8!$B:$G,4,0)</f>
        <v>EE</v>
      </c>
      <c r="AJ391" s="3" t="str">
        <f>VLOOKUP($AG391,[1]Sheet8!$B:$G,5,0)</f>
        <v>L093530003</v>
      </c>
      <c r="AK391" s="3">
        <f>VLOOKUP($AG391,[1]Sheet8!$B:$G,6,0)</f>
        <v>8.22</v>
      </c>
      <c r="AL391" s="3" t="s">
        <v>53</v>
      </c>
      <c r="AM391" s="3" t="s">
        <v>57</v>
      </c>
      <c r="AN391" s="3">
        <v>1235.83</v>
      </c>
      <c r="AO391" s="3" t="s">
        <v>53</v>
      </c>
      <c r="AP391" s="3" t="s">
        <v>59</v>
      </c>
      <c r="AQ391" s="3">
        <v>42.39</v>
      </c>
      <c r="AR391" s="3" t="s">
        <v>53</v>
      </c>
      <c r="AS391" s="3" t="s">
        <v>60</v>
      </c>
      <c r="AT391" s="3">
        <v>8.22</v>
      </c>
    </row>
    <row r="392" s="3" customFormat="1" ht="15" customHeight="1" spans="1:46">
      <c r="A392" s="60">
        <v>367</v>
      </c>
      <c r="B392" s="61" t="s">
        <v>215</v>
      </c>
      <c r="C392" s="61" t="s">
        <v>778</v>
      </c>
      <c r="D392" s="61" t="s">
        <v>67</v>
      </c>
      <c r="E392" s="62">
        <v>34950</v>
      </c>
      <c r="F392" s="61">
        <v>11572</v>
      </c>
      <c r="G392" s="61" t="s">
        <v>53</v>
      </c>
      <c r="H392" s="63" t="s">
        <v>54</v>
      </c>
      <c r="I392" s="64" t="s">
        <v>119</v>
      </c>
      <c r="J392" s="63" t="s">
        <v>56</v>
      </c>
      <c r="K392" s="65"/>
      <c r="L392" s="66"/>
      <c r="M392" s="67" t="s">
        <v>53</v>
      </c>
      <c r="N392" s="67" t="s">
        <v>59</v>
      </c>
      <c r="O392" s="67">
        <v>42.39</v>
      </c>
      <c r="P392" s="68" t="s">
        <v>53</v>
      </c>
      <c r="Q392" s="67" t="s">
        <v>60</v>
      </c>
      <c r="R392" s="67">
        <v>8.22</v>
      </c>
      <c r="S392" s="69" t="s">
        <v>61</v>
      </c>
      <c r="T392" s="69">
        <v>200000</v>
      </c>
      <c r="U392" s="69"/>
      <c r="V392" s="69" t="s">
        <v>62</v>
      </c>
      <c r="W392" s="69">
        <v>5528.67</v>
      </c>
      <c r="X392" s="69"/>
      <c r="Y392" s="69" t="s">
        <v>63</v>
      </c>
      <c r="Z392" s="69">
        <v>1148</v>
      </c>
      <c r="AA392" s="69"/>
      <c r="AB392" s="70"/>
      <c r="AC392" s="69" t="s">
        <v>144</v>
      </c>
      <c r="AD392" s="69"/>
      <c r="AE392" s="71">
        <v>102297</v>
      </c>
      <c r="AF392" s="69"/>
      <c r="AG392" s="3" t="str">
        <f>B392&amp;C392</f>
        <v>DavidRivera</v>
      </c>
      <c r="AH392" s="3" t="str">
        <f>VLOOKUP($AG392,[1]Sheet8!$B:$G,1,0)</f>
        <v>DAVIDRIVERA</v>
      </c>
      <c r="AI392" s="3" t="str">
        <f>VLOOKUP($AG392,[1]Sheet8!$B:$G,4,0)</f>
        <v>EE</v>
      </c>
      <c r="AJ392" s="3" t="str">
        <f>VLOOKUP($AG392,[1]Sheet8!$B:$G,5,0)</f>
        <v>L093530003</v>
      </c>
      <c r="AK392" s="3">
        <f>VLOOKUP($AG392,[1]Sheet8!$B:$G,6,0)</f>
        <v>8.22</v>
      </c>
      <c r="AO392" s="3" t="s">
        <v>53</v>
      </c>
      <c r="AP392" s="3" t="s">
        <v>59</v>
      </c>
      <c r="AQ392" s="3">
        <v>42.39</v>
      </c>
      <c r="AR392" s="3" t="s">
        <v>53</v>
      </c>
      <c r="AS392" s="3" t="s">
        <v>60</v>
      </c>
      <c r="AT392" s="3">
        <v>8.22</v>
      </c>
    </row>
    <row r="393" s="3" customFormat="1" ht="15" customHeight="1" spans="1:46">
      <c r="A393" s="60">
        <v>368</v>
      </c>
      <c r="B393" s="61" t="s">
        <v>780</v>
      </c>
      <c r="C393" s="61" t="s">
        <v>781</v>
      </c>
      <c r="D393" s="61" t="s">
        <v>67</v>
      </c>
      <c r="E393" s="62">
        <v>20613</v>
      </c>
      <c r="F393" s="61">
        <v>94062</v>
      </c>
      <c r="G393" s="61" t="s">
        <v>53</v>
      </c>
      <c r="H393" s="63" t="s">
        <v>54</v>
      </c>
      <c r="I393" s="64" t="s">
        <v>119</v>
      </c>
      <c r="J393" s="63" t="s">
        <v>56</v>
      </c>
      <c r="K393" s="65"/>
      <c r="L393" s="66"/>
      <c r="M393" s="67"/>
      <c r="N393" s="67"/>
      <c r="O393" s="67"/>
      <c r="P393" s="68"/>
      <c r="Q393" s="67"/>
      <c r="R393" s="67"/>
      <c r="S393" s="69" t="s">
        <v>61</v>
      </c>
      <c r="T393" s="69">
        <v>162500</v>
      </c>
      <c r="U393" s="69"/>
      <c r="V393" s="69" t="s">
        <v>62</v>
      </c>
      <c r="W393" s="69">
        <v>10000</v>
      </c>
      <c r="X393" s="69"/>
      <c r="Y393" s="69" t="s">
        <v>63</v>
      </c>
      <c r="Z393" s="69">
        <v>2000</v>
      </c>
      <c r="AA393" s="69"/>
      <c r="AB393" s="70"/>
      <c r="AC393" s="69" t="s">
        <v>782</v>
      </c>
      <c r="AD393" s="69"/>
      <c r="AE393" s="71">
        <v>556046.7</v>
      </c>
      <c r="AF393" s="69"/>
      <c r="AG393" s="3" t="str">
        <f>B393&amp;C393</f>
        <v>Richard DouglasRivers</v>
      </c>
      <c r="AH393" s="3" t="e">
        <f>VLOOKUP($AG393,[1]Sheet8!$B:$G,1,0)</f>
        <v>#N/A</v>
      </c>
      <c r="AI393" s="3" t="e">
        <f>VLOOKUP($AG393,[1]Sheet8!$B:$G,4,0)</f>
        <v>#N/A</v>
      </c>
      <c r="AJ393" s="3" t="e">
        <f>VLOOKUP($AG393,[1]Sheet8!$B:$G,5,0)</f>
        <v>#N/A</v>
      </c>
      <c r="AK393" s="3" t="e">
        <f>VLOOKUP($AG393,[1]Sheet8!$B:$G,6,0)</f>
        <v>#N/A</v>
      </c>
    </row>
    <row r="394" s="3" customFormat="1" ht="15" customHeight="1" spans="1:46">
      <c r="A394" s="60">
        <v>369</v>
      </c>
      <c r="B394" s="61" t="s">
        <v>741</v>
      </c>
      <c r="C394" s="61" t="s">
        <v>783</v>
      </c>
      <c r="D394" s="61" t="s">
        <v>67</v>
      </c>
      <c r="E394" s="62">
        <v>28956</v>
      </c>
      <c r="F394" s="61">
        <v>85282</v>
      </c>
      <c r="G394" s="61" t="s">
        <v>53</v>
      </c>
      <c r="H394" s="63" t="s">
        <v>54</v>
      </c>
      <c r="I394" s="64" t="s">
        <v>55</v>
      </c>
      <c r="J394" s="63" t="s">
        <v>56</v>
      </c>
      <c r="K394" s="65" t="s">
        <v>82</v>
      </c>
      <c r="L394" s="66">
        <v>1407.23</v>
      </c>
      <c r="M394" s="67" t="s">
        <v>58</v>
      </c>
      <c r="N394" s="67" t="s">
        <v>59</v>
      </c>
      <c r="O394" s="67">
        <v>147.1</v>
      </c>
      <c r="P394" s="68" t="s">
        <v>55</v>
      </c>
      <c r="Q394" s="67" t="s">
        <v>60</v>
      </c>
      <c r="R394" s="67">
        <v>13.95</v>
      </c>
      <c r="S394" s="69" t="s">
        <v>61</v>
      </c>
      <c r="T394" s="69">
        <v>250000</v>
      </c>
      <c r="U394" s="69"/>
      <c r="V394" s="69" t="s">
        <v>62</v>
      </c>
      <c r="W394" s="69">
        <v>7778.17</v>
      </c>
      <c r="X394" s="69"/>
      <c r="Y394" s="69" t="s">
        <v>63</v>
      </c>
      <c r="Z394" s="69">
        <v>1615</v>
      </c>
      <c r="AA394" s="69"/>
      <c r="AB394" s="70"/>
      <c r="AC394" s="69" t="s">
        <v>784</v>
      </c>
      <c r="AD394" s="69"/>
      <c r="AE394" s="71">
        <v>143920</v>
      </c>
      <c r="AF394" s="69"/>
      <c r="AG394" s="3" t="str">
        <f>B394&amp;C394</f>
        <v>CharlesRode</v>
      </c>
      <c r="AH394" s="3" t="str">
        <f>VLOOKUP($AG394,[1]Sheet8!$B:$G,1,0)</f>
        <v>CHARLESRODE</v>
      </c>
      <c r="AI394" s="3" t="str">
        <f>VLOOKUP($AG394,[1]Sheet8!$B:$G,4,0)</f>
        <v>EC</v>
      </c>
      <c r="AJ394" s="3" t="str">
        <f>VLOOKUP($AG394,[1]Sheet8!$B:$G,5,0)</f>
        <v>L093530003</v>
      </c>
      <c r="AK394" s="3">
        <f>VLOOKUP($AG394,[1]Sheet8!$B:$G,6,0)</f>
        <v>13.95</v>
      </c>
      <c r="AL394" s="3" t="s">
        <v>55</v>
      </c>
      <c r="AM394" s="3" t="s">
        <v>82</v>
      </c>
      <c r="AN394" s="3">
        <v>1407.23</v>
      </c>
      <c r="AO394" s="3" t="s">
        <v>58</v>
      </c>
      <c r="AP394" s="3" t="s">
        <v>59</v>
      </c>
      <c r="AQ394" s="3">
        <v>147.1</v>
      </c>
      <c r="AR394" s="3" t="s">
        <v>55</v>
      </c>
      <c r="AS394" s="3" t="s">
        <v>60</v>
      </c>
      <c r="AT394" s="3">
        <v>13.95</v>
      </c>
    </row>
    <row r="395" s="3" customFormat="1" ht="15" customHeight="1" spans="1:46">
      <c r="A395" s="60">
        <v>370</v>
      </c>
      <c r="B395" s="61" t="s">
        <v>785</v>
      </c>
      <c r="C395" s="61" t="s">
        <v>783</v>
      </c>
      <c r="D395" s="61" t="s">
        <v>67</v>
      </c>
      <c r="E395" s="62">
        <v>39910</v>
      </c>
      <c r="F395" s="61">
        <v>85282</v>
      </c>
      <c r="G395" s="61" t="s">
        <v>68</v>
      </c>
      <c r="H395" s="63">
        <v>369</v>
      </c>
      <c r="I395" s="64" t="s">
        <v>55</v>
      </c>
      <c r="J395" s="63" t="s">
        <v>56</v>
      </c>
      <c r="K395" s="65"/>
      <c r="L395" s="66"/>
      <c r="M395" s="67"/>
      <c r="N395" s="67"/>
      <c r="O395" s="67"/>
      <c r="P395" s="68"/>
      <c r="Q395" s="67"/>
      <c r="R395" s="67"/>
      <c r="S395" s="69"/>
      <c r="T395" s="69"/>
      <c r="U395" s="69"/>
      <c r="V395" s="69"/>
      <c r="W395" s="69"/>
      <c r="X395" s="69"/>
      <c r="Y395" s="69"/>
      <c r="Z395" s="69"/>
      <c r="AA395" s="69"/>
      <c r="AB395" s="70"/>
      <c r="AC395" s="69"/>
      <c r="AD395" s="69"/>
      <c r="AE395" s="71"/>
      <c r="AF395" s="69"/>
    </row>
    <row r="396" s="3" customFormat="1" ht="15" customHeight="1" spans="1:46">
      <c r="A396" s="60">
        <v>371</v>
      </c>
      <c r="B396" s="61" t="s">
        <v>786</v>
      </c>
      <c r="C396" s="61" t="s">
        <v>783</v>
      </c>
      <c r="D396" s="61" t="s">
        <v>67</v>
      </c>
      <c r="E396" s="62">
        <v>44088</v>
      </c>
      <c r="F396" s="61">
        <v>85282</v>
      </c>
      <c r="G396" s="61" t="s">
        <v>68</v>
      </c>
      <c r="H396" s="63">
        <v>369</v>
      </c>
      <c r="I396" s="64" t="s">
        <v>55</v>
      </c>
      <c r="J396" s="63" t="s">
        <v>56</v>
      </c>
      <c r="K396" s="65"/>
      <c r="L396" s="66"/>
      <c r="M396" s="67"/>
      <c r="N396" s="67"/>
      <c r="O396" s="67"/>
      <c r="P396" s="68"/>
      <c r="Q396" s="67"/>
      <c r="R396" s="67"/>
      <c r="S396" s="69"/>
      <c r="T396" s="69"/>
      <c r="U396" s="69"/>
      <c r="V396" s="69"/>
      <c r="W396" s="69"/>
      <c r="X396" s="69"/>
      <c r="Y396" s="69"/>
      <c r="Z396" s="69"/>
      <c r="AA396" s="69"/>
      <c r="AB396" s="70"/>
      <c r="AC396" s="69"/>
      <c r="AD396" s="69"/>
      <c r="AE396" s="71"/>
      <c r="AF396" s="69"/>
    </row>
    <row r="397" s="3" customFormat="1" ht="15" customHeight="1" spans="1:46">
      <c r="A397" s="60">
        <v>372</v>
      </c>
      <c r="B397" s="61" t="s">
        <v>215</v>
      </c>
      <c r="C397" s="61" t="s">
        <v>787</v>
      </c>
      <c r="D397" s="61" t="s">
        <v>67</v>
      </c>
      <c r="E397" s="62">
        <v>31168</v>
      </c>
      <c r="F397" s="61">
        <v>85260</v>
      </c>
      <c r="G397" s="61" t="s">
        <v>53</v>
      </c>
      <c r="H397" s="63" t="s">
        <v>54</v>
      </c>
      <c r="I397" s="64" t="s">
        <v>58</v>
      </c>
      <c r="J397" s="63" t="s">
        <v>56</v>
      </c>
      <c r="K397" s="65" t="s">
        <v>82</v>
      </c>
      <c r="L397" s="66">
        <v>2423.56</v>
      </c>
      <c r="M397" s="67" t="s">
        <v>58</v>
      </c>
      <c r="N397" s="67" t="s">
        <v>59</v>
      </c>
      <c r="O397" s="67">
        <v>147.1</v>
      </c>
      <c r="P397" s="68" t="s">
        <v>58</v>
      </c>
      <c r="Q397" s="67" t="s">
        <v>60</v>
      </c>
      <c r="R397" s="67">
        <v>23</v>
      </c>
      <c r="S397" s="69" t="s">
        <v>61</v>
      </c>
      <c r="T397" s="69">
        <v>250000</v>
      </c>
      <c r="U397" s="69"/>
      <c r="V397" s="69" t="s">
        <v>62</v>
      </c>
      <c r="W397" s="69">
        <v>7725.39</v>
      </c>
      <c r="X397" s="69"/>
      <c r="Y397" s="69" t="s">
        <v>63</v>
      </c>
      <c r="Z397" s="69">
        <v>1604</v>
      </c>
      <c r="AA397" s="69"/>
      <c r="AB397" s="70"/>
      <c r="AC397" s="69" t="s">
        <v>788</v>
      </c>
      <c r="AD397" s="69"/>
      <c r="AE397" s="71">
        <v>139050</v>
      </c>
      <c r="AF397" s="69"/>
      <c r="AG397" s="3" t="str">
        <f>B397&amp;C397</f>
        <v>DavidRoell</v>
      </c>
      <c r="AH397" s="3" t="str">
        <f>VLOOKUP($AG397,[1]Sheet8!$B:$G,1,0)</f>
        <v>DAVIDROELL</v>
      </c>
      <c r="AI397" s="3" t="str">
        <f>VLOOKUP($AG397,[1]Sheet8!$B:$G,4,0)</f>
        <v>FAM</v>
      </c>
      <c r="AJ397" s="3" t="str">
        <f>VLOOKUP($AG397,[1]Sheet8!$B:$G,5,0)</f>
        <v>L093530003</v>
      </c>
      <c r="AK397" s="3">
        <f>VLOOKUP($AG397,[1]Sheet8!$B:$G,6,0)</f>
        <v>23</v>
      </c>
      <c r="AL397" s="3" t="s">
        <v>58</v>
      </c>
      <c r="AM397" s="3" t="s">
        <v>82</v>
      </c>
      <c r="AN397" s="3">
        <v>2423.56</v>
      </c>
      <c r="AO397" s="3" t="s">
        <v>58</v>
      </c>
      <c r="AP397" s="3" t="s">
        <v>59</v>
      </c>
      <c r="AQ397" s="3">
        <v>147.1</v>
      </c>
      <c r="AR397" s="3" t="s">
        <v>58</v>
      </c>
      <c r="AS397" s="3" t="s">
        <v>60</v>
      </c>
      <c r="AT397" s="3">
        <v>23</v>
      </c>
    </row>
    <row r="398" s="3" customFormat="1" ht="15" customHeight="1" spans="1:46">
      <c r="A398" s="60">
        <v>373</v>
      </c>
      <c r="B398" s="61" t="s">
        <v>789</v>
      </c>
      <c r="C398" s="61" t="s">
        <v>787</v>
      </c>
      <c r="D398" s="61" t="s">
        <v>67</v>
      </c>
      <c r="E398" s="62">
        <v>45505</v>
      </c>
      <c r="F398" s="61">
        <v>85260</v>
      </c>
      <c r="G398" s="61" t="s">
        <v>68</v>
      </c>
      <c r="H398" s="63">
        <v>372</v>
      </c>
      <c r="I398" s="64" t="s">
        <v>58</v>
      </c>
      <c r="J398" s="63" t="s">
        <v>56</v>
      </c>
      <c r="K398" s="65"/>
      <c r="L398" s="66"/>
      <c r="M398" s="67"/>
      <c r="N398" s="67"/>
      <c r="O398" s="67"/>
      <c r="P398" s="68"/>
      <c r="Q398" s="67"/>
      <c r="R398" s="67"/>
      <c r="S398" s="69"/>
      <c r="T398" s="69"/>
      <c r="U398" s="69"/>
      <c r="V398" s="69"/>
      <c r="W398" s="69"/>
      <c r="X398" s="69"/>
      <c r="Y398" s="69"/>
      <c r="Z398" s="69"/>
      <c r="AA398" s="69"/>
      <c r="AB398" s="70"/>
      <c r="AC398" s="69"/>
      <c r="AD398" s="69"/>
      <c r="AE398" s="71"/>
      <c r="AF398" s="69"/>
    </row>
    <row r="399" s="3" customFormat="1" ht="15" customHeight="1" spans="1:46">
      <c r="A399" s="60">
        <v>374</v>
      </c>
      <c r="B399" s="61" t="s">
        <v>222</v>
      </c>
      <c r="C399" s="61" t="s">
        <v>787</v>
      </c>
      <c r="D399" s="61" t="s">
        <v>52</v>
      </c>
      <c r="E399" s="62">
        <v>32513</v>
      </c>
      <c r="F399" s="61">
        <v>85260</v>
      </c>
      <c r="G399" s="61" t="s">
        <v>85</v>
      </c>
      <c r="H399" s="63">
        <v>372</v>
      </c>
      <c r="I399" s="64" t="s">
        <v>58</v>
      </c>
      <c r="J399" s="63" t="s">
        <v>56</v>
      </c>
      <c r="K399" s="65"/>
      <c r="L399" s="66"/>
      <c r="M399" s="67"/>
      <c r="N399" s="67"/>
      <c r="O399" s="67"/>
      <c r="P399" s="68"/>
      <c r="Q399" s="67"/>
      <c r="R399" s="67"/>
      <c r="S399" s="69"/>
      <c r="T399" s="69"/>
      <c r="U399" s="69"/>
      <c r="V399" s="69"/>
      <c r="W399" s="69"/>
      <c r="X399" s="69"/>
      <c r="Y399" s="69"/>
      <c r="Z399" s="69"/>
      <c r="AA399" s="69"/>
      <c r="AB399" s="70"/>
      <c r="AC399" s="69"/>
      <c r="AD399" s="69"/>
      <c r="AE399" s="71"/>
      <c r="AF399" s="69"/>
    </row>
    <row r="400" s="3" customFormat="1" ht="15" customHeight="1" spans="1:46">
      <c r="A400" s="60">
        <v>375</v>
      </c>
      <c r="B400" s="61" t="s">
        <v>150</v>
      </c>
      <c r="C400" s="61" t="s">
        <v>790</v>
      </c>
      <c r="D400" s="61" t="s">
        <v>52</v>
      </c>
      <c r="E400" s="62">
        <v>33380</v>
      </c>
      <c r="F400" s="61">
        <v>10023</v>
      </c>
      <c r="G400" s="61" t="s">
        <v>53</v>
      </c>
      <c r="H400" s="63" t="s">
        <v>54</v>
      </c>
      <c r="I400" s="64" t="s">
        <v>53</v>
      </c>
      <c r="J400" s="63" t="s">
        <v>56</v>
      </c>
      <c r="K400" s="65" t="s">
        <v>57</v>
      </c>
      <c r="L400" s="66">
        <v>1235.83</v>
      </c>
      <c r="M400" s="67" t="s">
        <v>53</v>
      </c>
      <c r="N400" s="67" t="s">
        <v>59</v>
      </c>
      <c r="O400" s="67">
        <v>42.39</v>
      </c>
      <c r="P400" s="68" t="s">
        <v>53</v>
      </c>
      <c r="Q400" s="67" t="s">
        <v>60</v>
      </c>
      <c r="R400" s="67">
        <v>8.22</v>
      </c>
      <c r="S400" s="69" t="s">
        <v>61</v>
      </c>
      <c r="T400" s="69">
        <v>220000</v>
      </c>
      <c r="U400" s="69"/>
      <c r="V400" s="69" t="s">
        <v>62</v>
      </c>
      <c r="W400" s="69">
        <v>6111.42</v>
      </c>
      <c r="X400" s="69"/>
      <c r="Y400" s="69" t="s">
        <v>63</v>
      </c>
      <c r="Z400" s="69">
        <v>1269</v>
      </c>
      <c r="AA400" s="69"/>
      <c r="AB400" s="70"/>
      <c r="AC400" s="69" t="s">
        <v>335</v>
      </c>
      <c r="AD400" s="69"/>
      <c r="AE400" s="71">
        <v>110000</v>
      </c>
      <c r="AF400" s="69"/>
      <c r="AG400" s="3" t="str">
        <f>B400&amp;C400</f>
        <v>RachelRosenthal</v>
      </c>
      <c r="AH400" s="3" t="str">
        <f>VLOOKUP($AG400,[1]Sheet8!$B:$G,1,0)</f>
        <v>RACHELROSENTHAL</v>
      </c>
      <c r="AI400" s="3" t="str">
        <f>VLOOKUP($AG400,[1]Sheet8!$B:$G,4,0)</f>
        <v>EE</v>
      </c>
      <c r="AJ400" s="3" t="str">
        <f>VLOOKUP($AG400,[1]Sheet8!$B:$G,5,0)</f>
        <v>L093530003</v>
      </c>
      <c r="AK400" s="3">
        <f>VLOOKUP($AG400,[1]Sheet8!$B:$G,6,0)</f>
        <v>8.22</v>
      </c>
      <c r="AL400" s="3" t="s">
        <v>53</v>
      </c>
      <c r="AM400" s="3" t="s">
        <v>57</v>
      </c>
      <c r="AN400" s="3">
        <v>1235.83</v>
      </c>
      <c r="AO400" s="3" t="s">
        <v>53</v>
      </c>
      <c r="AP400" s="3" t="s">
        <v>59</v>
      </c>
      <c r="AQ400" s="3">
        <v>42.39</v>
      </c>
      <c r="AR400" s="3" t="s">
        <v>53</v>
      </c>
      <c r="AS400" s="3" t="s">
        <v>60</v>
      </c>
      <c r="AT400" s="3">
        <v>8.22</v>
      </c>
    </row>
    <row r="401" s="3" customFormat="1" ht="15" customHeight="1" spans="1:46">
      <c r="A401" s="60">
        <v>376</v>
      </c>
      <c r="B401" s="61" t="s">
        <v>471</v>
      </c>
      <c r="C401" s="61" t="s">
        <v>791</v>
      </c>
      <c r="D401" s="61" t="s">
        <v>67</v>
      </c>
      <c r="E401" s="62">
        <v>35129</v>
      </c>
      <c r="F401" s="61">
        <v>16506</v>
      </c>
      <c r="G401" s="61" t="s">
        <v>53</v>
      </c>
      <c r="H401" s="63" t="s">
        <v>54</v>
      </c>
      <c r="I401" s="64" t="s">
        <v>81</v>
      </c>
      <c r="J401" s="63" t="s">
        <v>56</v>
      </c>
      <c r="K401" s="65" t="s">
        <v>57</v>
      </c>
      <c r="L401" s="66">
        <v>2718.81</v>
      </c>
      <c r="M401" s="67" t="s">
        <v>81</v>
      </c>
      <c r="N401" s="67" t="s">
        <v>59</v>
      </c>
      <c r="O401" s="67">
        <v>84.72</v>
      </c>
      <c r="P401" s="68" t="s">
        <v>81</v>
      </c>
      <c r="Q401" s="67" t="s">
        <v>60</v>
      </c>
      <c r="R401" s="67">
        <v>16.48</v>
      </c>
      <c r="S401" s="69" t="s">
        <v>61</v>
      </c>
      <c r="T401" s="69">
        <v>247000</v>
      </c>
      <c r="U401" s="69"/>
      <c r="V401" s="69" t="s">
        <v>62</v>
      </c>
      <c r="W401" s="69">
        <v>6846.95</v>
      </c>
      <c r="X401" s="69"/>
      <c r="Y401" s="69" t="s">
        <v>63</v>
      </c>
      <c r="Z401" s="69">
        <v>1422</v>
      </c>
      <c r="AA401" s="69"/>
      <c r="AB401" s="70"/>
      <c r="AC401" s="69" t="s">
        <v>269</v>
      </c>
      <c r="AD401" s="69"/>
      <c r="AE401" s="71">
        <v>150105.16</v>
      </c>
      <c r="AF401" s="69"/>
      <c r="AG401" s="3" t="str">
        <f>B401&amp;C401</f>
        <v>AlexanderRossell Hayes</v>
      </c>
      <c r="AH401" s="3" t="str">
        <f>VLOOKUP($AG401,[1]Sheet8!$B:$G,1,0)</f>
        <v>ALEXANDERROSSELL HAYES</v>
      </c>
      <c r="AI401" s="3" t="str">
        <f>VLOOKUP($AG401,[1]Sheet8!$B:$G,4,0)</f>
        <v>ES</v>
      </c>
      <c r="AJ401" s="3" t="str">
        <f>VLOOKUP($AG401,[1]Sheet8!$B:$G,5,0)</f>
        <v>L093530003</v>
      </c>
      <c r="AK401" s="3">
        <f>VLOOKUP($AG401,[1]Sheet8!$B:$G,6,0)</f>
        <v>16.48</v>
      </c>
      <c r="AL401" s="3" t="s">
        <v>81</v>
      </c>
      <c r="AM401" s="3" t="s">
        <v>57</v>
      </c>
      <c r="AN401" s="3">
        <v>2718.81</v>
      </c>
      <c r="AO401" s="3" t="s">
        <v>81</v>
      </c>
      <c r="AP401" s="3" t="s">
        <v>59</v>
      </c>
      <c r="AQ401" s="3">
        <v>84.72</v>
      </c>
      <c r="AR401" s="3" t="s">
        <v>81</v>
      </c>
      <c r="AS401" s="3" t="s">
        <v>60</v>
      </c>
      <c r="AT401" s="3">
        <v>16.48</v>
      </c>
    </row>
    <row r="402" s="3" customFormat="1" ht="15" customHeight="1" spans="1:46">
      <c r="A402" s="60">
        <v>377</v>
      </c>
      <c r="B402" s="61" t="s">
        <v>792</v>
      </c>
      <c r="C402" s="61" t="s">
        <v>791</v>
      </c>
      <c r="D402" s="61" t="s">
        <v>52</v>
      </c>
      <c r="E402" s="62">
        <v>35216</v>
      </c>
      <c r="F402" s="61">
        <v>16506</v>
      </c>
      <c r="G402" s="61" t="s">
        <v>85</v>
      </c>
      <c r="H402" s="63">
        <v>376</v>
      </c>
      <c r="I402" s="64" t="s">
        <v>81</v>
      </c>
      <c r="J402" s="63" t="s">
        <v>56</v>
      </c>
      <c r="K402" s="65"/>
      <c r="L402" s="66"/>
      <c r="M402" s="67"/>
      <c r="N402" s="67"/>
      <c r="O402" s="67"/>
      <c r="P402" s="68"/>
      <c r="Q402" s="67"/>
      <c r="R402" s="67"/>
      <c r="S402" s="69"/>
      <c r="T402" s="69"/>
      <c r="U402" s="69"/>
      <c r="V402" s="69"/>
      <c r="W402" s="69"/>
      <c r="X402" s="69"/>
      <c r="Y402" s="69"/>
      <c r="Z402" s="69"/>
      <c r="AA402" s="69"/>
      <c r="AB402" s="70"/>
      <c r="AC402" s="69"/>
      <c r="AD402" s="69"/>
      <c r="AE402" s="71"/>
      <c r="AF402" s="69"/>
    </row>
    <row r="403" s="3" customFormat="1" ht="15" customHeight="1" spans="1:46">
      <c r="A403" s="60">
        <v>378</v>
      </c>
      <c r="B403" s="61" t="s">
        <v>503</v>
      </c>
      <c r="C403" s="61" t="s">
        <v>181</v>
      </c>
      <c r="D403" s="61" t="s">
        <v>67</v>
      </c>
      <c r="E403" s="62">
        <v>25916</v>
      </c>
      <c r="F403" s="61" t="s">
        <v>793</v>
      </c>
      <c r="G403" s="61" t="s">
        <v>53</v>
      </c>
      <c r="H403" s="63" t="s">
        <v>54</v>
      </c>
      <c r="I403" s="64" t="s">
        <v>58</v>
      </c>
      <c r="J403" s="63" t="s">
        <v>217</v>
      </c>
      <c r="K403" s="65" t="s">
        <v>57</v>
      </c>
      <c r="L403" s="66">
        <v>3831.06</v>
      </c>
      <c r="M403" s="67" t="s">
        <v>58</v>
      </c>
      <c r="N403" s="67" t="s">
        <v>59</v>
      </c>
      <c r="O403" s="67">
        <v>147.1</v>
      </c>
      <c r="P403" s="68" t="s">
        <v>58</v>
      </c>
      <c r="Q403" s="67" t="s">
        <v>60</v>
      </c>
      <c r="R403" s="67">
        <v>23</v>
      </c>
      <c r="S403" s="69"/>
      <c r="T403" s="69"/>
      <c r="U403" s="69"/>
      <c r="V403" s="69"/>
      <c r="W403" s="69"/>
      <c r="X403" s="69"/>
      <c r="Y403" s="69"/>
      <c r="Z403" s="69"/>
      <c r="AA403" s="69"/>
      <c r="AB403" s="70"/>
      <c r="AC403" s="69" t="s">
        <v>794</v>
      </c>
      <c r="AD403" s="69"/>
      <c r="AE403" s="71"/>
      <c r="AF403" s="69"/>
      <c r="AG403" s="3" t="str">
        <f>B403&amp;C403</f>
        <v>MarcRyan</v>
      </c>
      <c r="AH403" s="3" t="str">
        <f>VLOOKUP($AG403,[1]Sheet8!$B:$G,1,0)</f>
        <v>MARCRYAN</v>
      </c>
      <c r="AI403" s="3" t="str">
        <f>VLOOKUP($AG403,[1]Sheet8!$B:$G,4,0)</f>
        <v>FAM</v>
      </c>
      <c r="AJ403" s="3" t="str">
        <f>VLOOKUP($AG403,[1]Sheet8!$B:$G,5,0)</f>
        <v>L093530003</v>
      </c>
      <c r="AK403" s="3">
        <f>VLOOKUP($AG403,[1]Sheet8!$B:$G,6,0)</f>
        <v>23</v>
      </c>
      <c r="AL403" s="3" t="s">
        <v>58</v>
      </c>
      <c r="AM403" s="3" t="s">
        <v>57</v>
      </c>
      <c r="AN403" s="3">
        <v>3831.06</v>
      </c>
      <c r="AO403" s="3" t="s">
        <v>58</v>
      </c>
      <c r="AP403" s="3" t="s">
        <v>59</v>
      </c>
      <c r="AQ403" s="3">
        <v>147.1</v>
      </c>
      <c r="AR403" s="3" t="s">
        <v>58</v>
      </c>
      <c r="AS403" s="3" t="s">
        <v>60</v>
      </c>
      <c r="AT403" s="3">
        <v>23</v>
      </c>
    </row>
    <row r="404" s="3" customFormat="1" ht="15" customHeight="1" spans="1:46">
      <c r="A404" s="60">
        <v>379</v>
      </c>
      <c r="B404" s="61" t="s">
        <v>795</v>
      </c>
      <c r="C404" s="61" t="s">
        <v>181</v>
      </c>
      <c r="D404" s="61" t="s">
        <v>67</v>
      </c>
      <c r="E404" s="62">
        <v>39391</v>
      </c>
      <c r="F404" s="61" t="s">
        <v>793</v>
      </c>
      <c r="G404" s="61" t="s">
        <v>68</v>
      </c>
      <c r="H404" s="63">
        <v>378</v>
      </c>
      <c r="I404" s="64" t="s">
        <v>58</v>
      </c>
      <c r="J404" s="63" t="s">
        <v>56</v>
      </c>
      <c r="K404" s="65"/>
      <c r="L404" s="66"/>
      <c r="M404" s="67"/>
      <c r="N404" s="67"/>
      <c r="O404" s="67"/>
      <c r="P404" s="68"/>
      <c r="Q404" s="67"/>
      <c r="R404" s="67"/>
      <c r="S404" s="69"/>
      <c r="T404" s="69"/>
      <c r="U404" s="69"/>
      <c r="V404" s="69"/>
      <c r="W404" s="69"/>
      <c r="X404" s="69"/>
      <c r="Y404" s="69"/>
      <c r="Z404" s="69"/>
      <c r="AA404" s="69"/>
      <c r="AB404" s="70"/>
      <c r="AC404" s="69"/>
      <c r="AD404" s="69"/>
      <c r="AE404" s="71"/>
      <c r="AF404" s="69"/>
    </row>
    <row r="405" s="3" customFormat="1" ht="15" customHeight="1" spans="1:46">
      <c r="A405" s="60">
        <v>380</v>
      </c>
      <c r="B405" s="61" t="s">
        <v>796</v>
      </c>
      <c r="C405" s="61" t="s">
        <v>181</v>
      </c>
      <c r="D405" s="61" t="s">
        <v>52</v>
      </c>
      <c r="E405" s="62">
        <v>25617</v>
      </c>
      <c r="F405" s="61" t="s">
        <v>793</v>
      </c>
      <c r="G405" s="61" t="s">
        <v>85</v>
      </c>
      <c r="H405" s="63">
        <v>378</v>
      </c>
      <c r="I405" s="64" t="s">
        <v>58</v>
      </c>
      <c r="J405" s="63" t="s">
        <v>56</v>
      </c>
      <c r="K405" s="65"/>
      <c r="L405" s="66"/>
      <c r="M405" s="67"/>
      <c r="N405" s="67"/>
      <c r="O405" s="67"/>
      <c r="P405" s="68"/>
      <c r="Q405" s="67"/>
      <c r="R405" s="67"/>
      <c r="S405" s="69"/>
      <c r="T405" s="69"/>
      <c r="U405" s="69"/>
      <c r="V405" s="69"/>
      <c r="W405" s="69"/>
      <c r="X405" s="69"/>
      <c r="Y405" s="69"/>
      <c r="Z405" s="69"/>
      <c r="AA405" s="69"/>
      <c r="AB405" s="70"/>
      <c r="AC405" s="69"/>
      <c r="AD405" s="69"/>
      <c r="AE405" s="71"/>
      <c r="AF405" s="69"/>
    </row>
    <row r="406" s="3" customFormat="1" ht="15" customHeight="1" spans="1:46">
      <c r="A406" s="60">
        <v>381</v>
      </c>
      <c r="B406" s="61" t="s">
        <v>797</v>
      </c>
      <c r="C406" s="61" t="s">
        <v>181</v>
      </c>
      <c r="D406" s="61" t="s">
        <v>67</v>
      </c>
      <c r="E406" s="62">
        <v>40778</v>
      </c>
      <c r="F406" s="61" t="s">
        <v>793</v>
      </c>
      <c r="G406" s="61" t="s">
        <v>68</v>
      </c>
      <c r="H406" s="63">
        <v>378</v>
      </c>
      <c r="I406" s="64" t="s">
        <v>58</v>
      </c>
      <c r="J406" s="63" t="s">
        <v>56</v>
      </c>
      <c r="K406" s="65"/>
      <c r="L406" s="66"/>
      <c r="M406" s="67"/>
      <c r="N406" s="67"/>
      <c r="O406" s="67"/>
      <c r="P406" s="68"/>
      <c r="Q406" s="67"/>
      <c r="R406" s="67"/>
      <c r="S406" s="69"/>
      <c r="T406" s="69"/>
      <c r="U406" s="69"/>
      <c r="V406" s="69"/>
      <c r="W406" s="69"/>
      <c r="X406" s="69"/>
      <c r="Y406" s="69"/>
      <c r="Z406" s="69"/>
      <c r="AA406" s="69"/>
      <c r="AB406" s="70"/>
      <c r="AC406" s="69"/>
      <c r="AD406" s="69"/>
      <c r="AE406" s="71"/>
      <c r="AF406" s="69"/>
    </row>
    <row r="407" s="3" customFormat="1" ht="15" customHeight="1" spans="1:46">
      <c r="A407" s="60">
        <v>382</v>
      </c>
      <c r="B407" s="61" t="s">
        <v>798</v>
      </c>
      <c r="C407" s="61" t="s">
        <v>181</v>
      </c>
      <c r="D407" s="61" t="s">
        <v>67</v>
      </c>
      <c r="E407" s="62">
        <v>39891</v>
      </c>
      <c r="F407" s="61" t="s">
        <v>793</v>
      </c>
      <c r="G407" s="61" t="s">
        <v>68</v>
      </c>
      <c r="H407" s="63">
        <v>378</v>
      </c>
      <c r="I407" s="64" t="s">
        <v>58</v>
      </c>
      <c r="J407" s="63" t="s">
        <v>56</v>
      </c>
      <c r="K407" s="65"/>
      <c r="L407" s="66"/>
      <c r="M407" s="67"/>
      <c r="N407" s="67"/>
      <c r="O407" s="67"/>
      <c r="P407" s="68"/>
      <c r="Q407" s="67"/>
      <c r="R407" s="67"/>
      <c r="S407" s="69"/>
      <c r="T407" s="69"/>
      <c r="U407" s="69"/>
      <c r="V407" s="69"/>
      <c r="W407" s="69"/>
      <c r="X407" s="69"/>
      <c r="Y407" s="69"/>
      <c r="Z407" s="69"/>
      <c r="AA407" s="69"/>
      <c r="AB407" s="70"/>
      <c r="AC407" s="69"/>
      <c r="AD407" s="69"/>
      <c r="AE407" s="71"/>
      <c r="AF407" s="69"/>
    </row>
    <row r="408" s="3" customFormat="1" ht="15" customHeight="1" spans="1:46">
      <c r="A408" s="60">
        <v>383</v>
      </c>
      <c r="B408" s="61" t="s">
        <v>391</v>
      </c>
      <c r="C408" s="61" t="s">
        <v>799</v>
      </c>
      <c r="D408" s="61" t="s">
        <v>67</v>
      </c>
      <c r="E408" s="62">
        <v>29733</v>
      </c>
      <c r="F408" s="61" t="s">
        <v>800</v>
      </c>
      <c r="G408" s="61" t="s">
        <v>53</v>
      </c>
      <c r="H408" s="63" t="s">
        <v>54</v>
      </c>
      <c r="I408" s="64" t="s">
        <v>58</v>
      </c>
      <c r="J408" s="63" t="s">
        <v>56</v>
      </c>
      <c r="K408" s="65" t="s">
        <v>57</v>
      </c>
      <c r="L408" s="66">
        <v>3831.06</v>
      </c>
      <c r="M408" s="67" t="s">
        <v>58</v>
      </c>
      <c r="N408" s="67" t="s">
        <v>59</v>
      </c>
      <c r="O408" s="67">
        <v>147.1</v>
      </c>
      <c r="P408" s="68" t="s">
        <v>58</v>
      </c>
      <c r="Q408" s="67" t="s">
        <v>60</v>
      </c>
      <c r="R408" s="67">
        <v>23</v>
      </c>
      <c r="S408" s="69" t="s">
        <v>61</v>
      </c>
      <c r="T408" s="69">
        <v>250000</v>
      </c>
      <c r="U408" s="69"/>
      <c r="V408" s="69" t="s">
        <v>62</v>
      </c>
      <c r="W408" s="69">
        <v>7274.31</v>
      </c>
      <c r="X408" s="69"/>
      <c r="Y408" s="69" t="s">
        <v>63</v>
      </c>
      <c r="Z408" s="69">
        <v>1511</v>
      </c>
      <c r="AA408" s="69"/>
      <c r="AB408" s="70"/>
      <c r="AC408" s="69" t="s">
        <v>95</v>
      </c>
      <c r="AD408" s="69"/>
      <c r="AE408" s="71">
        <v>135186</v>
      </c>
      <c r="AF408" s="69"/>
      <c r="AG408" s="3" t="str">
        <f>B408&amp;C408</f>
        <v>KevinSansone</v>
      </c>
      <c r="AH408" s="3" t="str">
        <f>VLOOKUP($AG408,[1]Sheet8!$B:$G,1,0)</f>
        <v>KEVINSANSONE</v>
      </c>
      <c r="AI408" s="3" t="str">
        <f>VLOOKUP($AG408,[1]Sheet8!$B:$G,4,0)</f>
        <v>FAM</v>
      </c>
      <c r="AJ408" s="3" t="str">
        <f>VLOOKUP($AG408,[1]Sheet8!$B:$G,5,0)</f>
        <v>L093530003</v>
      </c>
      <c r="AK408" s="3">
        <f>VLOOKUP($AG408,[1]Sheet8!$B:$G,6,0)</f>
        <v>23</v>
      </c>
      <c r="AL408" s="3" t="s">
        <v>58</v>
      </c>
      <c r="AM408" s="3" t="s">
        <v>57</v>
      </c>
      <c r="AN408" s="3">
        <v>3831.06</v>
      </c>
      <c r="AO408" s="3" t="s">
        <v>58</v>
      </c>
      <c r="AP408" s="3" t="s">
        <v>59</v>
      </c>
      <c r="AQ408" s="3">
        <v>147.1</v>
      </c>
      <c r="AR408" s="3" t="s">
        <v>58</v>
      </c>
      <c r="AS408" s="3" t="s">
        <v>60</v>
      </c>
      <c r="AT408" s="3">
        <v>23</v>
      </c>
    </row>
    <row r="409" s="3" customFormat="1" ht="15" customHeight="1" spans="1:46">
      <c r="A409" s="60">
        <v>384</v>
      </c>
      <c r="B409" s="61" t="s">
        <v>533</v>
      </c>
      <c r="C409" s="61" t="s">
        <v>799</v>
      </c>
      <c r="D409" s="61" t="s">
        <v>67</v>
      </c>
      <c r="E409" s="62">
        <v>41521</v>
      </c>
      <c r="F409" s="61" t="s">
        <v>800</v>
      </c>
      <c r="G409" s="61" t="s">
        <v>68</v>
      </c>
      <c r="H409" s="63">
        <v>383</v>
      </c>
      <c r="I409" s="64" t="s">
        <v>58</v>
      </c>
      <c r="J409" s="63" t="s">
        <v>56</v>
      </c>
      <c r="K409" s="65"/>
      <c r="L409" s="66"/>
      <c r="M409" s="67"/>
      <c r="N409" s="67"/>
      <c r="O409" s="67"/>
      <c r="P409" s="68"/>
      <c r="Q409" s="67"/>
      <c r="R409" s="67"/>
      <c r="S409" s="69"/>
      <c r="T409" s="69"/>
      <c r="U409" s="69"/>
      <c r="V409" s="69"/>
      <c r="W409" s="69"/>
      <c r="X409" s="69"/>
      <c r="Y409" s="69"/>
      <c r="Z409" s="69"/>
      <c r="AA409" s="69"/>
      <c r="AB409" s="70"/>
      <c r="AC409" s="69"/>
      <c r="AD409" s="69"/>
      <c r="AE409" s="71"/>
      <c r="AF409" s="69"/>
    </row>
    <row r="410" s="3" customFormat="1" ht="15" customHeight="1" spans="1:46">
      <c r="A410" s="60">
        <v>385</v>
      </c>
      <c r="B410" s="61" t="s">
        <v>801</v>
      </c>
      <c r="C410" s="61" t="s">
        <v>799</v>
      </c>
      <c r="D410" s="61" t="s">
        <v>52</v>
      </c>
      <c r="E410" s="62">
        <v>40290</v>
      </c>
      <c r="F410" s="61" t="s">
        <v>800</v>
      </c>
      <c r="G410" s="61" t="s">
        <v>68</v>
      </c>
      <c r="H410" s="63">
        <v>383</v>
      </c>
      <c r="I410" s="64" t="s">
        <v>58</v>
      </c>
      <c r="J410" s="63" t="s">
        <v>56</v>
      </c>
      <c r="K410" s="65"/>
      <c r="L410" s="66"/>
      <c r="M410" s="67"/>
      <c r="N410" s="67"/>
      <c r="O410" s="67"/>
      <c r="P410" s="68"/>
      <c r="Q410" s="67"/>
      <c r="R410" s="67"/>
      <c r="S410" s="69"/>
      <c r="T410" s="69"/>
      <c r="U410" s="69"/>
      <c r="V410" s="69"/>
      <c r="W410" s="69"/>
      <c r="X410" s="69"/>
      <c r="Y410" s="69"/>
      <c r="Z410" s="69"/>
      <c r="AA410" s="69"/>
      <c r="AB410" s="70"/>
      <c r="AC410" s="69"/>
      <c r="AD410" s="69"/>
      <c r="AE410" s="71"/>
      <c r="AF410" s="69"/>
    </row>
    <row r="411" s="3" customFormat="1" ht="15" customHeight="1" spans="1:46">
      <c r="A411" s="60">
        <v>386</v>
      </c>
      <c r="B411" s="61" t="s">
        <v>802</v>
      </c>
      <c r="C411" s="61" t="s">
        <v>799</v>
      </c>
      <c r="D411" s="61" t="s">
        <v>52</v>
      </c>
      <c r="E411" s="62">
        <v>29681</v>
      </c>
      <c r="F411" s="61" t="s">
        <v>800</v>
      </c>
      <c r="G411" s="61" t="s">
        <v>85</v>
      </c>
      <c r="H411" s="63">
        <v>383</v>
      </c>
      <c r="I411" s="64" t="s">
        <v>58</v>
      </c>
      <c r="J411" s="63" t="s">
        <v>56</v>
      </c>
      <c r="K411" s="65"/>
      <c r="L411" s="66"/>
      <c r="M411" s="67"/>
      <c r="N411" s="67"/>
      <c r="O411" s="67"/>
      <c r="P411" s="68"/>
      <c r="Q411" s="67"/>
      <c r="R411" s="67"/>
      <c r="S411" s="69"/>
      <c r="T411" s="69"/>
      <c r="U411" s="69"/>
      <c r="V411" s="69"/>
      <c r="W411" s="69"/>
      <c r="X411" s="69"/>
      <c r="Y411" s="69"/>
      <c r="Z411" s="69"/>
      <c r="AA411" s="69"/>
      <c r="AB411" s="70"/>
      <c r="AC411" s="69"/>
      <c r="AD411" s="69"/>
      <c r="AE411" s="71"/>
      <c r="AF411" s="69"/>
    </row>
    <row r="412" s="3" customFormat="1" ht="15" customHeight="1" spans="1:46">
      <c r="A412" s="60">
        <v>387</v>
      </c>
      <c r="B412" s="61" t="s">
        <v>803</v>
      </c>
      <c r="C412" s="61" t="s">
        <v>804</v>
      </c>
      <c r="D412" s="61" t="s">
        <v>52</v>
      </c>
      <c r="E412" s="62">
        <v>28969</v>
      </c>
      <c r="F412" s="61">
        <v>90069</v>
      </c>
      <c r="G412" s="61" t="s">
        <v>53</v>
      </c>
      <c r="H412" s="63" t="s">
        <v>54</v>
      </c>
      <c r="I412" s="64" t="s">
        <v>53</v>
      </c>
      <c r="J412" s="63" t="s">
        <v>56</v>
      </c>
      <c r="K412" s="65" t="s">
        <v>82</v>
      </c>
      <c r="L412" s="66">
        <v>781.79</v>
      </c>
      <c r="M412" s="67" t="s">
        <v>53</v>
      </c>
      <c r="N412" s="67" t="s">
        <v>59</v>
      </c>
      <c r="O412" s="67">
        <v>42.39</v>
      </c>
      <c r="P412" s="68" t="s">
        <v>53</v>
      </c>
      <c r="Q412" s="67" t="s">
        <v>60</v>
      </c>
      <c r="R412" s="67">
        <v>8.22</v>
      </c>
      <c r="S412" s="69" t="s">
        <v>61</v>
      </c>
      <c r="T412" s="69">
        <v>250000</v>
      </c>
      <c r="U412" s="69"/>
      <c r="V412" s="69" t="s">
        <v>62</v>
      </c>
      <c r="W412" s="69">
        <v>10000</v>
      </c>
      <c r="X412" s="69"/>
      <c r="Y412" s="69" t="s">
        <v>63</v>
      </c>
      <c r="Z412" s="69">
        <v>2000</v>
      </c>
      <c r="AA412" s="69"/>
      <c r="AB412" s="70"/>
      <c r="AC412" s="69" t="s">
        <v>805</v>
      </c>
      <c r="AD412" s="69"/>
      <c r="AE412" s="71">
        <v>209090</v>
      </c>
      <c r="AF412" s="69"/>
      <c r="AG412" s="3" t="str">
        <f t="shared" ref="AG412:AG420" si="15">B412&amp;C412</f>
        <v>MarijanaSarac</v>
      </c>
      <c r="AH412" s="3" t="str">
        <f>VLOOKUP($AG412,[1]Sheet8!$B:$G,1,0)</f>
        <v>MarijanaSARAC</v>
      </c>
      <c r="AI412" s="3" t="str">
        <f>VLOOKUP($AG412,[1]Sheet8!$B:$G,4,0)</f>
        <v>EE</v>
      </c>
      <c r="AJ412" s="3" t="str">
        <f>VLOOKUP($AG412,[1]Sheet8!$B:$G,5,0)</f>
        <v>L093530003</v>
      </c>
      <c r="AK412" s="3">
        <f>VLOOKUP($AG412,[1]Sheet8!$B:$G,6,0)</f>
        <v>8.22</v>
      </c>
      <c r="AL412" s="3" t="s">
        <v>53</v>
      </c>
      <c r="AM412" s="3" t="s">
        <v>82</v>
      </c>
      <c r="AN412" s="3">
        <v>781.79</v>
      </c>
      <c r="AO412" s="3" t="s">
        <v>53</v>
      </c>
      <c r="AP412" s="3" t="s">
        <v>59</v>
      </c>
      <c r="AQ412" s="3">
        <v>42.39</v>
      </c>
      <c r="AR412" s="3" t="s">
        <v>53</v>
      </c>
      <c r="AS412" s="3" t="s">
        <v>60</v>
      </c>
      <c r="AT412" s="3">
        <v>8.22</v>
      </c>
    </row>
    <row r="413" s="3" customFormat="1" ht="15" customHeight="1" spans="1:46">
      <c r="A413" s="60">
        <v>388</v>
      </c>
      <c r="B413" s="61" t="s">
        <v>806</v>
      </c>
      <c r="C413" s="61" t="s">
        <v>807</v>
      </c>
      <c r="D413" s="61" t="s">
        <v>52</v>
      </c>
      <c r="E413" s="62">
        <v>35977</v>
      </c>
      <c r="F413" s="61">
        <v>11102</v>
      </c>
      <c r="G413" s="61" t="s">
        <v>53</v>
      </c>
      <c r="H413" s="63" t="s">
        <v>54</v>
      </c>
      <c r="I413" s="64" t="s">
        <v>53</v>
      </c>
      <c r="J413" s="63" t="s">
        <v>56</v>
      </c>
      <c r="K413" s="65" t="s">
        <v>82</v>
      </c>
      <c r="L413" s="66">
        <v>781.79</v>
      </c>
      <c r="M413" s="67" t="s">
        <v>53</v>
      </c>
      <c r="N413" s="67" t="s">
        <v>59</v>
      </c>
      <c r="O413" s="67">
        <v>42.39</v>
      </c>
      <c r="P413" s="68" t="s">
        <v>53</v>
      </c>
      <c r="Q413" s="67" t="s">
        <v>60</v>
      </c>
      <c r="R413" s="67">
        <v>8.22</v>
      </c>
      <c r="S413" s="69" t="s">
        <v>61</v>
      </c>
      <c r="T413" s="69">
        <v>230000</v>
      </c>
      <c r="U413" s="69"/>
      <c r="V413" s="69" t="s">
        <v>62</v>
      </c>
      <c r="W413" s="69">
        <v>6389.21</v>
      </c>
      <c r="X413" s="69"/>
      <c r="Y413" s="69" t="s">
        <v>63</v>
      </c>
      <c r="Z413" s="69">
        <v>1327</v>
      </c>
      <c r="AA413" s="69"/>
      <c r="AB413" s="70"/>
      <c r="AC413" s="69" t="s">
        <v>808</v>
      </c>
      <c r="AD413" s="69"/>
      <c r="AE413" s="71">
        <v>115000</v>
      </c>
      <c r="AF413" s="69"/>
      <c r="AG413" s="3" t="str">
        <f t="shared" si="15"/>
        <v>TamaraSaxman</v>
      </c>
      <c r="AH413" s="3" t="str">
        <f>VLOOKUP($AG413,[1]Sheet8!$B:$G,1,0)</f>
        <v>TAMARASAXMAN</v>
      </c>
      <c r="AI413" s="3" t="str">
        <f>VLOOKUP($AG413,[1]Sheet8!$B:$G,4,0)</f>
        <v>EE</v>
      </c>
      <c r="AJ413" s="3" t="str">
        <f>VLOOKUP($AG413,[1]Sheet8!$B:$G,5,0)</f>
        <v>L093530003</v>
      </c>
      <c r="AK413" s="3">
        <f>VLOOKUP($AG413,[1]Sheet8!$B:$G,6,0)</f>
        <v>8.22</v>
      </c>
      <c r="AL413" s="3" t="s">
        <v>53</v>
      </c>
      <c r="AM413" s="3" t="s">
        <v>82</v>
      </c>
      <c r="AN413" s="3">
        <v>781.79</v>
      </c>
      <c r="AO413" s="3" t="s">
        <v>53</v>
      </c>
      <c r="AP413" s="3" t="s">
        <v>59</v>
      </c>
      <c r="AQ413" s="3">
        <v>42.39</v>
      </c>
      <c r="AR413" s="3" t="s">
        <v>53</v>
      </c>
      <c r="AS413" s="3" t="s">
        <v>60</v>
      </c>
      <c r="AT413" s="3">
        <v>8.22</v>
      </c>
    </row>
    <row r="414" s="3" customFormat="1" ht="15" customHeight="1" spans="1:46">
      <c r="A414" s="60">
        <v>389</v>
      </c>
      <c r="B414" s="61" t="s">
        <v>261</v>
      </c>
      <c r="C414" s="61" t="s">
        <v>809</v>
      </c>
      <c r="D414" s="61" t="s">
        <v>67</v>
      </c>
      <c r="E414" s="62">
        <v>36354</v>
      </c>
      <c r="F414" s="61">
        <v>77845</v>
      </c>
      <c r="G414" s="61" t="s">
        <v>53</v>
      </c>
      <c r="H414" s="63" t="s">
        <v>54</v>
      </c>
      <c r="I414" s="64" t="s">
        <v>53</v>
      </c>
      <c r="J414" s="63" t="s">
        <v>56</v>
      </c>
      <c r="K414" s="65" t="s">
        <v>82</v>
      </c>
      <c r="L414" s="66">
        <v>781.79</v>
      </c>
      <c r="M414" s="67" t="s">
        <v>53</v>
      </c>
      <c r="N414" s="67" t="s">
        <v>59</v>
      </c>
      <c r="O414" s="67">
        <v>42.39</v>
      </c>
      <c r="P414" s="68" t="s">
        <v>53</v>
      </c>
      <c r="Q414" s="67" t="s">
        <v>60</v>
      </c>
      <c r="R414" s="67">
        <v>8.22</v>
      </c>
      <c r="S414" s="69" t="s">
        <v>61</v>
      </c>
      <c r="T414" s="69">
        <v>131000</v>
      </c>
      <c r="U414" s="69"/>
      <c r="V414" s="69" t="s">
        <v>62</v>
      </c>
      <c r="W414" s="69">
        <v>3619.29</v>
      </c>
      <c r="X414" s="69"/>
      <c r="Y414" s="69" t="s">
        <v>63</v>
      </c>
      <c r="Z414" s="69">
        <v>752</v>
      </c>
      <c r="AA414" s="69"/>
      <c r="AB414" s="70"/>
      <c r="AC414" s="69" t="s">
        <v>106</v>
      </c>
      <c r="AD414" s="69"/>
      <c r="AE414" s="71">
        <v>71124.93</v>
      </c>
      <c r="AF414" s="69"/>
      <c r="AG414" s="3" t="str">
        <f t="shared" si="15"/>
        <v>MatthewSchaub</v>
      </c>
      <c r="AH414" s="3" t="str">
        <f>VLOOKUP($AG414,[1]Sheet8!$B:$G,1,0)</f>
        <v>MATTHEWSCHAUB</v>
      </c>
      <c r="AI414" s="3" t="str">
        <f>VLOOKUP($AG414,[1]Sheet8!$B:$G,4,0)</f>
        <v>EE</v>
      </c>
      <c r="AJ414" s="3" t="str">
        <f>VLOOKUP($AG414,[1]Sheet8!$B:$G,5,0)</f>
        <v>L093530003</v>
      </c>
      <c r="AK414" s="3">
        <f>VLOOKUP($AG414,[1]Sheet8!$B:$G,6,0)</f>
        <v>8.22</v>
      </c>
      <c r="AL414" s="3" t="s">
        <v>53</v>
      </c>
      <c r="AM414" s="3" t="s">
        <v>82</v>
      </c>
      <c r="AN414" s="3">
        <v>781.79</v>
      </c>
      <c r="AO414" s="3" t="s">
        <v>53</v>
      </c>
      <c r="AP414" s="3" t="s">
        <v>59</v>
      </c>
      <c r="AQ414" s="3">
        <v>42.39</v>
      </c>
      <c r="AR414" s="3" t="s">
        <v>53</v>
      </c>
      <c r="AS414" s="3" t="s">
        <v>60</v>
      </c>
      <c r="AT414" s="3">
        <v>8.22</v>
      </c>
    </row>
    <row r="415" s="3" customFormat="1" ht="15" customHeight="1" spans="1:46">
      <c r="A415" s="60">
        <v>390</v>
      </c>
      <c r="B415" s="61" t="s">
        <v>810</v>
      </c>
      <c r="C415" s="61" t="s">
        <v>811</v>
      </c>
      <c r="D415" s="61" t="s">
        <v>52</v>
      </c>
      <c r="E415" s="62">
        <v>32561</v>
      </c>
      <c r="F415" s="61">
        <v>60618</v>
      </c>
      <c r="G415" s="61" t="s">
        <v>53</v>
      </c>
      <c r="H415" s="63" t="s">
        <v>54</v>
      </c>
      <c r="I415" s="64" t="s">
        <v>53</v>
      </c>
      <c r="J415" s="63" t="s">
        <v>56</v>
      </c>
      <c r="K415" s="65" t="s">
        <v>57</v>
      </c>
      <c r="L415" s="66">
        <v>1235.83</v>
      </c>
      <c r="M415" s="67" t="s">
        <v>53</v>
      </c>
      <c r="N415" s="67" t="s">
        <v>59</v>
      </c>
      <c r="O415" s="67">
        <v>42.39</v>
      </c>
      <c r="P415" s="68" t="s">
        <v>53</v>
      </c>
      <c r="Q415" s="67" t="s">
        <v>60</v>
      </c>
      <c r="R415" s="67">
        <v>8.22</v>
      </c>
      <c r="S415" s="69" t="s">
        <v>61</v>
      </c>
      <c r="T415" s="69">
        <v>250000</v>
      </c>
      <c r="U415" s="69"/>
      <c r="V415" s="69" t="s">
        <v>62</v>
      </c>
      <c r="W415" s="69">
        <v>10000</v>
      </c>
      <c r="X415" s="69"/>
      <c r="Y415" s="69" t="s">
        <v>63</v>
      </c>
      <c r="Z415" s="69">
        <v>2000</v>
      </c>
      <c r="AA415" s="69"/>
      <c r="AB415" s="70"/>
      <c r="AC415" s="69" t="s">
        <v>812</v>
      </c>
      <c r="AD415" s="69"/>
      <c r="AE415" s="71">
        <v>199520</v>
      </c>
      <c r="AF415" s="69"/>
      <c r="AG415" s="3" t="str">
        <f t="shared" si="15"/>
        <v>DareSchenck</v>
      </c>
      <c r="AH415" s="3" t="str">
        <f>VLOOKUP($AG415,[1]Sheet8!$B:$G,1,0)</f>
        <v>DARESCHENCK</v>
      </c>
      <c r="AI415" s="3" t="str">
        <f>VLOOKUP($AG415,[1]Sheet8!$B:$G,4,0)</f>
        <v>EE</v>
      </c>
      <c r="AJ415" s="3" t="str">
        <f>VLOOKUP($AG415,[1]Sheet8!$B:$G,5,0)</f>
        <v>L093530003</v>
      </c>
      <c r="AK415" s="3">
        <f>VLOOKUP($AG415,[1]Sheet8!$B:$G,6,0)</f>
        <v>8.22</v>
      </c>
      <c r="AL415" s="3" t="s">
        <v>53</v>
      </c>
      <c r="AM415" s="3" t="s">
        <v>57</v>
      </c>
      <c r="AN415" s="3">
        <v>1235.83</v>
      </c>
      <c r="AO415" s="3" t="s">
        <v>53</v>
      </c>
      <c r="AP415" s="3" t="s">
        <v>59</v>
      </c>
      <c r="AQ415" s="3">
        <v>42.39</v>
      </c>
      <c r="AR415" s="3" t="s">
        <v>53</v>
      </c>
      <c r="AS415" s="3" t="s">
        <v>60</v>
      </c>
      <c r="AT415" s="3">
        <v>8.22</v>
      </c>
    </row>
    <row r="416" s="3" customFormat="1" ht="15" customHeight="1" spans="1:46">
      <c r="A416" s="60">
        <v>391</v>
      </c>
      <c r="B416" s="61" t="s">
        <v>124</v>
      </c>
      <c r="C416" s="61" t="s">
        <v>813</v>
      </c>
      <c r="D416" s="61" t="s">
        <v>52</v>
      </c>
      <c r="E416" s="62">
        <v>32138</v>
      </c>
      <c r="F416" s="61">
        <v>80212</v>
      </c>
      <c r="G416" s="61" t="s">
        <v>53</v>
      </c>
      <c r="H416" s="63" t="s">
        <v>54</v>
      </c>
      <c r="I416" s="64" t="s">
        <v>119</v>
      </c>
      <c r="J416" s="63" t="s">
        <v>56</v>
      </c>
      <c r="K416" s="65"/>
      <c r="L416" s="66"/>
      <c r="M416" s="67"/>
      <c r="N416" s="67"/>
      <c r="O416" s="67"/>
      <c r="P416" s="68"/>
      <c r="Q416" s="67"/>
      <c r="R416" s="67"/>
      <c r="S416" s="69" t="s">
        <v>61</v>
      </c>
      <c r="T416" s="69">
        <v>210000</v>
      </c>
      <c r="U416" s="69"/>
      <c r="V416" s="69" t="s">
        <v>62</v>
      </c>
      <c r="W416" s="69">
        <v>5833.63</v>
      </c>
      <c r="X416" s="69"/>
      <c r="Y416" s="69" t="s">
        <v>63</v>
      </c>
      <c r="Z416" s="69">
        <v>1212</v>
      </c>
      <c r="AA416" s="69"/>
      <c r="AB416" s="70"/>
      <c r="AC416" s="69" t="s">
        <v>484</v>
      </c>
      <c r="AD416" s="69"/>
      <c r="AE416" s="71">
        <v>107625</v>
      </c>
      <c r="AF416" s="69"/>
      <c r="AG416" s="3" t="str">
        <f t="shared" si="15"/>
        <v>EmilySchilling</v>
      </c>
      <c r="AH416" s="3" t="e">
        <f>VLOOKUP($AG416,[1]Sheet8!$B:$G,1,0)</f>
        <v>#N/A</v>
      </c>
      <c r="AI416" s="3" t="e">
        <f>VLOOKUP($AG416,[1]Sheet8!$B:$G,4,0)</f>
        <v>#N/A</v>
      </c>
      <c r="AJ416" s="3" t="e">
        <f>VLOOKUP($AG416,[1]Sheet8!$B:$G,5,0)</f>
        <v>#N/A</v>
      </c>
      <c r="AK416" s="3" t="e">
        <f>VLOOKUP($AG416,[1]Sheet8!$B:$G,6,0)</f>
        <v>#N/A</v>
      </c>
    </row>
    <row r="417" s="3" customFormat="1" ht="15" customHeight="1" spans="1:46">
      <c r="A417" s="60">
        <v>392</v>
      </c>
      <c r="B417" s="61" t="s">
        <v>667</v>
      </c>
      <c r="C417" s="61" t="s">
        <v>814</v>
      </c>
      <c r="D417" s="61" t="s">
        <v>67</v>
      </c>
      <c r="E417" s="62">
        <v>25303</v>
      </c>
      <c r="F417" s="61">
        <v>94960</v>
      </c>
      <c r="G417" s="61" t="s">
        <v>53</v>
      </c>
      <c r="H417" s="63" t="s">
        <v>54</v>
      </c>
      <c r="I417" s="64" t="s">
        <v>119</v>
      </c>
      <c r="J417" s="63" t="s">
        <v>56</v>
      </c>
      <c r="K417" s="65"/>
      <c r="L417" s="66"/>
      <c r="M417" s="67"/>
      <c r="N417" s="67"/>
      <c r="O417" s="67"/>
      <c r="P417" s="68"/>
      <c r="Q417" s="67"/>
      <c r="R417" s="67"/>
      <c r="S417" s="69" t="s">
        <v>61</v>
      </c>
      <c r="T417" s="69">
        <v>193000</v>
      </c>
      <c r="U417" s="69"/>
      <c r="V417" s="69" t="s">
        <v>62</v>
      </c>
      <c r="W417" s="69">
        <v>5355.6</v>
      </c>
      <c r="X417" s="69"/>
      <c r="Y417" s="69" t="s">
        <v>63</v>
      </c>
      <c r="Z417" s="69">
        <v>1112</v>
      </c>
      <c r="AA417" s="69"/>
      <c r="AB417" s="70"/>
      <c r="AC417" s="69" t="s">
        <v>815</v>
      </c>
      <c r="AD417" s="69"/>
      <c r="AE417" s="71">
        <v>100252</v>
      </c>
      <c r="AF417" s="69"/>
      <c r="AG417" s="3" t="str">
        <f t="shared" si="15"/>
        <v>DanielScholnick</v>
      </c>
      <c r="AH417" s="3" t="e">
        <f>VLOOKUP($AG417,[1]Sheet8!$B:$G,1,0)</f>
        <v>#N/A</v>
      </c>
      <c r="AI417" s="3" t="e">
        <f>VLOOKUP($AG417,[1]Sheet8!$B:$G,4,0)</f>
        <v>#N/A</v>
      </c>
      <c r="AJ417" s="3" t="e">
        <f>VLOOKUP($AG417,[1]Sheet8!$B:$G,5,0)</f>
        <v>#N/A</v>
      </c>
      <c r="AK417" s="3" t="e">
        <f>VLOOKUP($AG417,[1]Sheet8!$B:$G,6,0)</f>
        <v>#N/A</v>
      </c>
    </row>
    <row r="418" s="3" customFormat="1" ht="15" customHeight="1" spans="1:46">
      <c r="A418" s="60">
        <v>393</v>
      </c>
      <c r="B418" s="61" t="s">
        <v>816</v>
      </c>
      <c r="C418" s="61" t="s">
        <v>817</v>
      </c>
      <c r="D418" s="61" t="s">
        <v>52</v>
      </c>
      <c r="E418" s="62">
        <v>34994</v>
      </c>
      <c r="F418" s="61">
        <v>38125</v>
      </c>
      <c r="G418" s="61" t="s">
        <v>53</v>
      </c>
      <c r="H418" s="63" t="s">
        <v>54</v>
      </c>
      <c r="I418" s="64" t="s">
        <v>53</v>
      </c>
      <c r="J418" s="63" t="s">
        <v>56</v>
      </c>
      <c r="K418" s="65" t="s">
        <v>57</v>
      </c>
      <c r="L418" s="66">
        <v>1235.83</v>
      </c>
      <c r="M418" s="67" t="s">
        <v>53</v>
      </c>
      <c r="N418" s="67" t="s">
        <v>59</v>
      </c>
      <c r="O418" s="67">
        <v>42.39</v>
      </c>
      <c r="P418" s="68" t="s">
        <v>53</v>
      </c>
      <c r="Q418" s="67" t="s">
        <v>60</v>
      </c>
      <c r="R418" s="67">
        <v>8.22</v>
      </c>
      <c r="S418" s="69" t="s">
        <v>61</v>
      </c>
      <c r="T418" s="69">
        <v>137000</v>
      </c>
      <c r="U418" s="69"/>
      <c r="V418" s="69" t="s">
        <v>62</v>
      </c>
      <c r="W418" s="69">
        <v>3800.3</v>
      </c>
      <c r="X418" s="69"/>
      <c r="Y418" s="69" t="s">
        <v>63</v>
      </c>
      <c r="Z418" s="69">
        <v>789</v>
      </c>
      <c r="AA418" s="69"/>
      <c r="AB418" s="70"/>
      <c r="AC418" s="69" t="s">
        <v>106</v>
      </c>
      <c r="AD418" s="69"/>
      <c r="AE418" s="71">
        <v>74681.24</v>
      </c>
      <c r="AF418" s="69"/>
      <c r="AG418" s="3" t="str">
        <f t="shared" si="15"/>
        <v>AlexandriaSeamster</v>
      </c>
      <c r="AH418" s="3" t="str">
        <f>VLOOKUP($AG418,[1]Sheet8!$B:$G,1,0)</f>
        <v>ALEXANDRIASEAMSTER</v>
      </c>
      <c r="AI418" s="3" t="str">
        <f>VLOOKUP($AG418,[1]Sheet8!$B:$G,4,0)</f>
        <v>EE</v>
      </c>
      <c r="AJ418" s="3" t="str">
        <f>VLOOKUP($AG418,[1]Sheet8!$B:$G,5,0)</f>
        <v>L093530003</v>
      </c>
      <c r="AK418" s="3">
        <f>VLOOKUP($AG418,[1]Sheet8!$B:$G,6,0)</f>
        <v>8.22</v>
      </c>
      <c r="AL418" s="3" t="s">
        <v>53</v>
      </c>
      <c r="AM418" s="3" t="s">
        <v>57</v>
      </c>
      <c r="AN418" s="3">
        <v>1235.83</v>
      </c>
      <c r="AO418" s="3" t="s">
        <v>53</v>
      </c>
      <c r="AP418" s="3" t="s">
        <v>59</v>
      </c>
      <c r="AQ418" s="3">
        <v>42.39</v>
      </c>
      <c r="AR418" s="3" t="s">
        <v>53</v>
      </c>
      <c r="AS418" s="3" t="s">
        <v>60</v>
      </c>
      <c r="AT418" s="3">
        <v>8.22</v>
      </c>
    </row>
    <row r="419" s="3" customFormat="1" ht="15" customHeight="1" spans="1:46">
      <c r="A419" s="60">
        <v>394</v>
      </c>
      <c r="B419" s="61" t="s">
        <v>79</v>
      </c>
      <c r="C419" s="61" t="s">
        <v>818</v>
      </c>
      <c r="D419" s="61" t="s">
        <v>52</v>
      </c>
      <c r="E419" s="62">
        <v>34479</v>
      </c>
      <c r="F419" s="61">
        <v>95742</v>
      </c>
      <c r="G419" s="61" t="s">
        <v>53</v>
      </c>
      <c r="H419" s="63" t="s">
        <v>54</v>
      </c>
      <c r="I419" s="64" t="s">
        <v>53</v>
      </c>
      <c r="J419" s="63" t="s">
        <v>56</v>
      </c>
      <c r="K419" s="65" t="s">
        <v>82</v>
      </c>
      <c r="L419" s="66">
        <v>781.79</v>
      </c>
      <c r="M419" s="67" t="s">
        <v>53</v>
      </c>
      <c r="N419" s="67" t="s">
        <v>59</v>
      </c>
      <c r="O419" s="67">
        <v>42.39</v>
      </c>
      <c r="P419" s="68" t="s">
        <v>53</v>
      </c>
      <c r="Q419" s="67" t="s">
        <v>60</v>
      </c>
      <c r="R419" s="67">
        <v>8.22</v>
      </c>
      <c r="S419" s="69" t="s">
        <v>61</v>
      </c>
      <c r="T419" s="69">
        <v>204000</v>
      </c>
      <c r="U419" s="69"/>
      <c r="V419" s="69" t="s">
        <v>62</v>
      </c>
      <c r="W419" s="69">
        <v>5654.62</v>
      </c>
      <c r="X419" s="69"/>
      <c r="Y419" s="69" t="s">
        <v>63</v>
      </c>
      <c r="Z419" s="69">
        <v>1174</v>
      </c>
      <c r="AA419" s="69"/>
      <c r="AB419" s="70"/>
      <c r="AC419" s="69" t="s">
        <v>335</v>
      </c>
      <c r="AD419" s="69"/>
      <c r="AE419" s="71">
        <v>107884.73</v>
      </c>
      <c r="AF419" s="69"/>
      <c r="AG419" s="3" t="str">
        <f t="shared" si="15"/>
        <v>SaraSermarini</v>
      </c>
      <c r="AH419" s="3" t="str">
        <f>VLOOKUP($AG419,[1]Sheet8!$B:$G,1,0)</f>
        <v>SARASERMARINI</v>
      </c>
      <c r="AI419" s="3" t="str">
        <f>VLOOKUP($AG419,[1]Sheet8!$B:$G,4,0)</f>
        <v>EE</v>
      </c>
      <c r="AJ419" s="3" t="str">
        <f>VLOOKUP($AG419,[1]Sheet8!$B:$G,5,0)</f>
        <v>L093530003</v>
      </c>
      <c r="AK419" s="3">
        <f>VLOOKUP($AG419,[1]Sheet8!$B:$G,6,0)</f>
        <v>8.22</v>
      </c>
      <c r="AL419" s="3" t="s">
        <v>53</v>
      </c>
      <c r="AM419" s="3" t="s">
        <v>82</v>
      </c>
      <c r="AN419" s="3">
        <v>781.79</v>
      </c>
      <c r="AO419" s="3" t="s">
        <v>53</v>
      </c>
      <c r="AP419" s="3" t="s">
        <v>59</v>
      </c>
      <c r="AQ419" s="3">
        <v>42.39</v>
      </c>
      <c r="AR419" s="3" t="s">
        <v>53</v>
      </c>
      <c r="AS419" s="3" t="s">
        <v>60</v>
      </c>
      <c r="AT419" s="3">
        <v>8.22</v>
      </c>
    </row>
    <row r="420" s="3" customFormat="1" ht="15" customHeight="1" spans="1:46">
      <c r="A420" s="60">
        <v>395</v>
      </c>
      <c r="B420" s="61" t="s">
        <v>819</v>
      </c>
      <c r="C420" s="61" t="s">
        <v>820</v>
      </c>
      <c r="D420" s="61" t="s">
        <v>67</v>
      </c>
      <c r="E420" s="62">
        <v>27539</v>
      </c>
      <c r="F420" s="61">
        <v>14450</v>
      </c>
      <c r="G420" s="61" t="s">
        <v>53</v>
      </c>
      <c r="H420" s="63" t="s">
        <v>54</v>
      </c>
      <c r="I420" s="64" t="s">
        <v>58</v>
      </c>
      <c r="J420" s="63" t="s">
        <v>56</v>
      </c>
      <c r="K420" s="65" t="s">
        <v>57</v>
      </c>
      <c r="L420" s="66">
        <v>3831.06</v>
      </c>
      <c r="M420" s="67" t="s">
        <v>58</v>
      </c>
      <c r="N420" s="67" t="s">
        <v>59</v>
      </c>
      <c r="O420" s="67">
        <v>147.1</v>
      </c>
      <c r="P420" s="68" t="s">
        <v>58</v>
      </c>
      <c r="Q420" s="67" t="s">
        <v>60</v>
      </c>
      <c r="R420" s="67">
        <v>23</v>
      </c>
      <c r="S420" s="69" t="s">
        <v>61</v>
      </c>
      <c r="T420" s="69">
        <v>250000</v>
      </c>
      <c r="U420" s="69"/>
      <c r="V420" s="69" t="s">
        <v>62</v>
      </c>
      <c r="W420" s="69">
        <v>8687.6</v>
      </c>
      <c r="X420" s="69"/>
      <c r="Y420" s="69" t="s">
        <v>63</v>
      </c>
      <c r="Z420" s="69">
        <v>1804</v>
      </c>
      <c r="AA420" s="69"/>
      <c r="AB420" s="70"/>
      <c r="AC420" s="69" t="s">
        <v>821</v>
      </c>
      <c r="AD420" s="69"/>
      <c r="AE420" s="71">
        <v>167627</v>
      </c>
      <c r="AF420" s="69"/>
      <c r="AG420" s="3" t="str">
        <f t="shared" si="15"/>
        <v>LawrenceShannon Missal</v>
      </c>
      <c r="AH420" s="3" t="str">
        <f>VLOOKUP($AG420,[1]Sheet8!$B:$G,1,0)</f>
        <v>LAWRENCESHANNON MISSAL</v>
      </c>
      <c r="AI420" s="3" t="str">
        <f>VLOOKUP($AG420,[1]Sheet8!$B:$G,4,0)</f>
        <v>FAM</v>
      </c>
      <c r="AJ420" s="3" t="str">
        <f>VLOOKUP($AG420,[1]Sheet8!$B:$G,5,0)</f>
        <v>L093530003</v>
      </c>
      <c r="AK420" s="3">
        <f>VLOOKUP($AG420,[1]Sheet8!$B:$G,6,0)</f>
        <v>23</v>
      </c>
      <c r="AL420" s="3" t="s">
        <v>58</v>
      </c>
      <c r="AM420" s="3" t="s">
        <v>57</v>
      </c>
      <c r="AN420" s="3">
        <v>3831.06</v>
      </c>
      <c r="AO420" s="3" t="s">
        <v>58</v>
      </c>
      <c r="AP420" s="3" t="s">
        <v>59</v>
      </c>
      <c r="AQ420" s="3">
        <v>147.1</v>
      </c>
      <c r="AR420" s="3" t="s">
        <v>58</v>
      </c>
      <c r="AS420" s="3" t="s">
        <v>60</v>
      </c>
      <c r="AT420" s="3">
        <v>23</v>
      </c>
    </row>
    <row r="421" s="3" customFormat="1" ht="15" customHeight="1" spans="1:46">
      <c r="A421" s="60">
        <v>396</v>
      </c>
      <c r="B421" s="61" t="s">
        <v>527</v>
      </c>
      <c r="C421" s="61" t="s">
        <v>822</v>
      </c>
      <c r="D421" s="61" t="s">
        <v>52</v>
      </c>
      <c r="E421" s="62">
        <v>39198</v>
      </c>
      <c r="F421" s="61">
        <v>14450</v>
      </c>
      <c r="G421" s="61" t="s">
        <v>68</v>
      </c>
      <c r="H421" s="63">
        <v>395</v>
      </c>
      <c r="I421" s="64" t="s">
        <v>58</v>
      </c>
      <c r="J421" s="63" t="s">
        <v>56</v>
      </c>
      <c r="K421" s="65"/>
      <c r="L421" s="66"/>
      <c r="M421" s="67"/>
      <c r="N421" s="67"/>
      <c r="O421" s="67"/>
      <c r="P421" s="68"/>
      <c r="Q421" s="67"/>
      <c r="R421" s="67"/>
      <c r="S421" s="69"/>
      <c r="T421" s="69"/>
      <c r="U421" s="69"/>
      <c r="V421" s="69"/>
      <c r="W421" s="69"/>
      <c r="X421" s="69"/>
      <c r="Y421" s="69"/>
      <c r="Z421" s="69"/>
      <c r="AA421" s="69"/>
      <c r="AB421" s="70"/>
      <c r="AC421" s="69"/>
      <c r="AD421" s="69"/>
      <c r="AE421" s="71"/>
      <c r="AF421" s="69"/>
    </row>
    <row r="422" s="3" customFormat="1" ht="15" customHeight="1" spans="1:46">
      <c r="A422" s="60">
        <v>397</v>
      </c>
      <c r="B422" s="61" t="s">
        <v>823</v>
      </c>
      <c r="C422" s="61" t="s">
        <v>822</v>
      </c>
      <c r="D422" s="61" t="s">
        <v>52</v>
      </c>
      <c r="E422" s="62">
        <v>25913</v>
      </c>
      <c r="F422" s="61">
        <v>14450</v>
      </c>
      <c r="G422" s="61" t="s">
        <v>85</v>
      </c>
      <c r="H422" s="63">
        <v>395</v>
      </c>
      <c r="I422" s="64" t="s">
        <v>58</v>
      </c>
      <c r="J422" s="63" t="s">
        <v>56</v>
      </c>
      <c r="K422" s="65"/>
      <c r="L422" s="66"/>
      <c r="M422" s="67"/>
      <c r="N422" s="67"/>
      <c r="O422" s="67"/>
      <c r="P422" s="68"/>
      <c r="Q422" s="67"/>
      <c r="R422" s="67"/>
      <c r="S422" s="69"/>
      <c r="T422" s="69"/>
      <c r="U422" s="69"/>
      <c r="V422" s="69"/>
      <c r="W422" s="69"/>
      <c r="X422" s="69"/>
      <c r="Y422" s="69"/>
      <c r="Z422" s="69"/>
      <c r="AA422" s="69"/>
      <c r="AB422" s="70"/>
      <c r="AC422" s="69"/>
      <c r="AD422" s="69"/>
      <c r="AE422" s="71"/>
      <c r="AF422" s="69"/>
    </row>
    <row r="423" s="3" customFormat="1" ht="15" customHeight="1" spans="1:46">
      <c r="A423" s="60">
        <v>398</v>
      </c>
      <c r="B423" s="61" t="s">
        <v>251</v>
      </c>
      <c r="C423" s="61" t="s">
        <v>824</v>
      </c>
      <c r="D423" s="61" t="s">
        <v>67</v>
      </c>
      <c r="E423" s="62">
        <v>24294</v>
      </c>
      <c r="F423" s="61">
        <v>48374</v>
      </c>
      <c r="G423" s="61" t="s">
        <v>53</v>
      </c>
      <c r="H423" s="63" t="s">
        <v>54</v>
      </c>
      <c r="I423" s="64" t="s">
        <v>119</v>
      </c>
      <c r="J423" s="63" t="s">
        <v>56</v>
      </c>
      <c r="K423" s="65"/>
      <c r="L423" s="66"/>
      <c r="M423" s="67"/>
      <c r="N423" s="67"/>
      <c r="O423" s="67"/>
      <c r="P423" s="68"/>
      <c r="Q423" s="67"/>
      <c r="R423" s="67"/>
      <c r="S423" s="69" t="s">
        <v>61</v>
      </c>
      <c r="T423" s="69">
        <v>250000</v>
      </c>
      <c r="U423" s="69"/>
      <c r="V423" s="69" t="s">
        <v>62</v>
      </c>
      <c r="W423" s="69">
        <v>8872.55</v>
      </c>
      <c r="X423" s="69"/>
      <c r="Y423" s="69" t="s">
        <v>63</v>
      </c>
      <c r="Z423" s="69">
        <v>1843</v>
      </c>
      <c r="AA423" s="69"/>
      <c r="AB423" s="70"/>
      <c r="AC423" s="69" t="s">
        <v>718</v>
      </c>
      <c r="AD423" s="69"/>
      <c r="AE423" s="71">
        <v>165287</v>
      </c>
      <c r="AF423" s="69"/>
      <c r="AG423" s="3" t="str">
        <f>B423&amp;C423</f>
        <v>JosephSharnowski</v>
      </c>
      <c r="AH423" s="3" t="e">
        <f>VLOOKUP($AG423,[1]Sheet8!$B:$G,1,0)</f>
        <v>#N/A</v>
      </c>
      <c r="AI423" s="3" t="e">
        <f>VLOOKUP($AG423,[1]Sheet8!$B:$G,4,0)</f>
        <v>#N/A</v>
      </c>
      <c r="AJ423" s="3" t="e">
        <f>VLOOKUP($AG423,[1]Sheet8!$B:$G,5,0)</f>
        <v>#N/A</v>
      </c>
      <c r="AK423" s="3" t="e">
        <f>VLOOKUP($AG423,[1]Sheet8!$B:$G,6,0)</f>
        <v>#N/A</v>
      </c>
    </row>
    <row r="424" s="3" customFormat="1" ht="15" customHeight="1" spans="1:46">
      <c r="A424" s="60">
        <v>399</v>
      </c>
      <c r="B424" s="61" t="s">
        <v>198</v>
      </c>
      <c r="C424" s="61" t="s">
        <v>825</v>
      </c>
      <c r="D424" s="61" t="s">
        <v>52</v>
      </c>
      <c r="E424" s="62">
        <v>32843</v>
      </c>
      <c r="F424" s="61" t="s">
        <v>826</v>
      </c>
      <c r="G424" s="61" t="s">
        <v>53</v>
      </c>
      <c r="H424" s="63" t="s">
        <v>54</v>
      </c>
      <c r="I424" s="64" t="s">
        <v>119</v>
      </c>
      <c r="J424" s="63" t="s">
        <v>56</v>
      </c>
      <c r="K424" s="65"/>
      <c r="L424" s="66"/>
      <c r="M424" s="67"/>
      <c r="N424" s="67"/>
      <c r="O424" s="67"/>
      <c r="P424" s="68"/>
      <c r="Q424" s="67"/>
      <c r="R424" s="67"/>
      <c r="S424" s="69" t="s">
        <v>61</v>
      </c>
      <c r="T424" s="69">
        <v>196000</v>
      </c>
      <c r="U424" s="69"/>
      <c r="V424" s="69" t="s">
        <v>62</v>
      </c>
      <c r="W424" s="69">
        <v>5423.22</v>
      </c>
      <c r="X424" s="69"/>
      <c r="Y424" s="69" t="s">
        <v>63</v>
      </c>
      <c r="Z424" s="69">
        <v>1126</v>
      </c>
      <c r="AA424" s="69"/>
      <c r="AB424" s="70"/>
      <c r="AC424" s="69" t="s">
        <v>98</v>
      </c>
      <c r="AD424" s="69"/>
      <c r="AE424" s="71">
        <v>108005.52</v>
      </c>
      <c r="AF424" s="69"/>
      <c r="AG424" s="3" t="str">
        <f>B424&amp;C424</f>
        <v>AnnaShevchenko</v>
      </c>
      <c r="AH424" s="3" t="e">
        <f>VLOOKUP($AG424,[1]Sheet8!$B:$G,1,0)</f>
        <v>#N/A</v>
      </c>
      <c r="AI424" s="3" t="e">
        <f>VLOOKUP($AG424,[1]Sheet8!$B:$G,4,0)</f>
        <v>#N/A</v>
      </c>
      <c r="AJ424" s="3" t="e">
        <f>VLOOKUP($AG424,[1]Sheet8!$B:$G,5,0)</f>
        <v>#N/A</v>
      </c>
      <c r="AK424" s="3" t="e">
        <f>VLOOKUP($AG424,[1]Sheet8!$B:$G,6,0)</f>
        <v>#N/A</v>
      </c>
    </row>
    <row r="425" s="3" customFormat="1" ht="15" customHeight="1" spans="1:46">
      <c r="A425" s="60">
        <v>400</v>
      </c>
      <c r="B425" s="61" t="s">
        <v>827</v>
      </c>
      <c r="C425" s="61" t="s">
        <v>828</v>
      </c>
      <c r="D425" s="61" t="s">
        <v>52</v>
      </c>
      <c r="E425" s="62">
        <v>31868</v>
      </c>
      <c r="F425" s="61">
        <v>30342</v>
      </c>
      <c r="G425" s="61" t="s">
        <v>53</v>
      </c>
      <c r="H425" s="63" t="s">
        <v>54</v>
      </c>
      <c r="I425" s="64" t="s">
        <v>58</v>
      </c>
      <c r="J425" s="63" t="s">
        <v>56</v>
      </c>
      <c r="K425" s="65" t="s">
        <v>57</v>
      </c>
      <c r="L425" s="66">
        <v>3831.06</v>
      </c>
      <c r="M425" s="67" t="s">
        <v>58</v>
      </c>
      <c r="N425" s="67" t="s">
        <v>59</v>
      </c>
      <c r="O425" s="67">
        <v>147.1</v>
      </c>
      <c r="P425" s="68" t="s">
        <v>58</v>
      </c>
      <c r="Q425" s="67" t="s">
        <v>60</v>
      </c>
      <c r="R425" s="67">
        <v>23</v>
      </c>
      <c r="S425" s="69" t="s">
        <v>61</v>
      </c>
      <c r="T425" s="69">
        <v>250000</v>
      </c>
      <c r="U425" s="69"/>
      <c r="V425" s="69" t="s">
        <v>62</v>
      </c>
      <c r="W425" s="69">
        <v>7238.58</v>
      </c>
      <c r="X425" s="69"/>
      <c r="Y425" s="69" t="s">
        <v>63</v>
      </c>
      <c r="Z425" s="69">
        <v>1503</v>
      </c>
      <c r="AA425" s="69"/>
      <c r="AB425" s="70"/>
      <c r="AC425" s="69" t="s">
        <v>829</v>
      </c>
      <c r="AD425" s="69"/>
      <c r="AE425" s="71">
        <v>134197</v>
      </c>
      <c r="AF425" s="69"/>
      <c r="AG425" s="3" t="str">
        <f>B425&amp;C425</f>
        <v>MacieShewmaker</v>
      </c>
      <c r="AH425" s="3" t="str">
        <f>VLOOKUP($AG425,[1]Sheet8!$B:$G,1,0)</f>
        <v>MACIESHEWMAKER</v>
      </c>
      <c r="AI425" s="3" t="str">
        <f>VLOOKUP($AG425,[1]Sheet8!$B:$G,4,0)</f>
        <v>FAM</v>
      </c>
      <c r="AJ425" s="3" t="str">
        <f>VLOOKUP($AG425,[1]Sheet8!$B:$G,5,0)</f>
        <v>L093530003</v>
      </c>
      <c r="AK425" s="3">
        <f>VLOOKUP($AG425,[1]Sheet8!$B:$G,6,0)</f>
        <v>23</v>
      </c>
      <c r="AL425" s="3" t="s">
        <v>58</v>
      </c>
      <c r="AM425" s="3" t="s">
        <v>57</v>
      </c>
      <c r="AN425" s="3">
        <v>3831.06</v>
      </c>
      <c r="AO425" s="3" t="s">
        <v>58</v>
      </c>
      <c r="AP425" s="3" t="s">
        <v>59</v>
      </c>
      <c r="AQ425" s="3">
        <v>147.1</v>
      </c>
      <c r="AR425" s="3" t="s">
        <v>58</v>
      </c>
      <c r="AS425" s="3" t="s">
        <v>60</v>
      </c>
      <c r="AT425" s="3">
        <v>23</v>
      </c>
    </row>
    <row r="426" s="3" customFormat="1" ht="15" customHeight="1" spans="1:46">
      <c r="A426" s="60">
        <v>401</v>
      </c>
      <c r="B426" s="61" t="s">
        <v>830</v>
      </c>
      <c r="C426" s="61" t="s">
        <v>828</v>
      </c>
      <c r="D426" s="61" t="s">
        <v>67</v>
      </c>
      <c r="E426" s="62">
        <v>44953</v>
      </c>
      <c r="F426" s="61">
        <v>30342</v>
      </c>
      <c r="G426" s="61" t="s">
        <v>68</v>
      </c>
      <c r="H426" s="63">
        <v>400</v>
      </c>
      <c r="I426" s="64" t="s">
        <v>58</v>
      </c>
      <c r="J426" s="63" t="s">
        <v>56</v>
      </c>
      <c r="K426" s="65"/>
      <c r="L426" s="66"/>
      <c r="M426" s="67"/>
      <c r="N426" s="67"/>
      <c r="O426" s="67"/>
      <c r="P426" s="68"/>
      <c r="Q426" s="67"/>
      <c r="R426" s="67"/>
      <c r="S426" s="69"/>
      <c r="T426" s="69"/>
      <c r="U426" s="69"/>
      <c r="V426" s="69"/>
      <c r="W426" s="69"/>
      <c r="X426" s="69"/>
      <c r="Y426" s="69"/>
      <c r="Z426" s="69"/>
      <c r="AA426" s="69"/>
      <c r="AB426" s="70"/>
      <c r="AC426" s="69"/>
      <c r="AD426" s="69"/>
      <c r="AE426" s="71"/>
      <c r="AF426" s="69"/>
    </row>
    <row r="427" s="3" customFormat="1" ht="15" customHeight="1" spans="1:46">
      <c r="A427" s="60">
        <v>402</v>
      </c>
      <c r="B427" s="61" t="s">
        <v>831</v>
      </c>
      <c r="C427" s="61" t="s">
        <v>828</v>
      </c>
      <c r="D427" s="61" t="s">
        <v>52</v>
      </c>
      <c r="E427" s="62">
        <v>42672</v>
      </c>
      <c r="F427" s="61">
        <v>30342</v>
      </c>
      <c r="G427" s="61" t="s">
        <v>68</v>
      </c>
      <c r="H427" s="63">
        <v>400</v>
      </c>
      <c r="I427" s="64" t="s">
        <v>58</v>
      </c>
      <c r="J427" s="63" t="s">
        <v>56</v>
      </c>
      <c r="K427" s="65"/>
      <c r="L427" s="66"/>
      <c r="M427" s="67"/>
      <c r="N427" s="67"/>
      <c r="O427" s="67"/>
      <c r="P427" s="68"/>
      <c r="Q427" s="67"/>
      <c r="R427" s="67"/>
      <c r="S427" s="69"/>
      <c r="T427" s="69"/>
      <c r="U427" s="69"/>
      <c r="V427" s="69"/>
      <c r="W427" s="69"/>
      <c r="X427" s="69"/>
      <c r="Y427" s="69"/>
      <c r="Z427" s="69"/>
      <c r="AA427" s="69"/>
      <c r="AB427" s="70"/>
      <c r="AC427" s="69"/>
      <c r="AD427" s="69"/>
      <c r="AE427" s="71"/>
      <c r="AF427" s="69"/>
    </row>
    <row r="428" s="3" customFormat="1" ht="15" customHeight="1" spans="1:46">
      <c r="A428" s="60">
        <v>403</v>
      </c>
      <c r="B428" s="61" t="s">
        <v>832</v>
      </c>
      <c r="C428" s="61" t="s">
        <v>828</v>
      </c>
      <c r="D428" s="61" t="s">
        <v>52</v>
      </c>
      <c r="E428" s="62">
        <v>45655</v>
      </c>
      <c r="F428" s="61">
        <v>30342</v>
      </c>
      <c r="G428" s="61" t="s">
        <v>68</v>
      </c>
      <c r="H428" s="63">
        <v>400</v>
      </c>
      <c r="I428" s="64" t="s">
        <v>58</v>
      </c>
      <c r="J428" s="63" t="s">
        <v>56</v>
      </c>
      <c r="K428" s="65"/>
      <c r="L428" s="66"/>
      <c r="M428" s="67"/>
      <c r="N428" s="67"/>
      <c r="O428" s="67"/>
      <c r="P428" s="68"/>
      <c r="Q428" s="67"/>
      <c r="R428" s="67"/>
      <c r="S428" s="69"/>
      <c r="T428" s="69"/>
      <c r="U428" s="69"/>
      <c r="V428" s="69"/>
      <c r="W428" s="69"/>
      <c r="X428" s="69"/>
      <c r="Y428" s="69"/>
      <c r="Z428" s="69"/>
      <c r="AA428" s="69"/>
      <c r="AB428" s="70"/>
      <c r="AC428" s="69"/>
      <c r="AD428" s="69"/>
      <c r="AE428" s="71"/>
      <c r="AF428" s="69"/>
    </row>
    <row r="429" s="3" customFormat="1" ht="15" customHeight="1" spans="1:46">
      <c r="A429" s="60">
        <v>404</v>
      </c>
      <c r="B429" s="61" t="s">
        <v>469</v>
      </c>
      <c r="C429" s="61" t="s">
        <v>828</v>
      </c>
      <c r="D429" s="61" t="s">
        <v>67</v>
      </c>
      <c r="E429" s="62">
        <v>29676</v>
      </c>
      <c r="F429" s="61">
        <v>30342</v>
      </c>
      <c r="G429" s="61" t="s">
        <v>85</v>
      </c>
      <c r="H429" s="63">
        <v>400</v>
      </c>
      <c r="I429" s="64" t="s">
        <v>58</v>
      </c>
      <c r="J429" s="63" t="s">
        <v>56</v>
      </c>
      <c r="K429" s="65"/>
      <c r="L429" s="66"/>
      <c r="M429" s="67"/>
      <c r="N429" s="67"/>
      <c r="O429" s="67"/>
      <c r="P429" s="68"/>
      <c r="Q429" s="67"/>
      <c r="R429" s="67"/>
      <c r="S429" s="69"/>
      <c r="T429" s="69"/>
      <c r="U429" s="69"/>
      <c r="V429" s="69"/>
      <c r="W429" s="69"/>
      <c r="X429" s="69"/>
      <c r="Y429" s="69"/>
      <c r="Z429" s="69"/>
      <c r="AA429" s="69"/>
      <c r="AB429" s="70"/>
      <c r="AC429" s="69"/>
      <c r="AD429" s="69"/>
      <c r="AE429" s="71"/>
      <c r="AF429" s="69"/>
    </row>
    <row r="430" s="3" customFormat="1" ht="15" customHeight="1" spans="1:46">
      <c r="A430" s="60">
        <v>405</v>
      </c>
      <c r="B430" s="61" t="s">
        <v>833</v>
      </c>
      <c r="C430" s="61" t="s">
        <v>834</v>
      </c>
      <c r="D430" s="61" t="s">
        <v>52</v>
      </c>
      <c r="E430" s="62">
        <v>31298</v>
      </c>
      <c r="F430" s="61">
        <v>94618</v>
      </c>
      <c r="G430" s="61" t="s">
        <v>53</v>
      </c>
      <c r="H430" s="63" t="s">
        <v>54</v>
      </c>
      <c r="I430" s="64" t="s">
        <v>53</v>
      </c>
      <c r="J430" s="63" t="s">
        <v>56</v>
      </c>
      <c r="K430" s="65" t="s">
        <v>82</v>
      </c>
      <c r="L430" s="66">
        <v>781.79</v>
      </c>
      <c r="M430" s="67" t="s">
        <v>53</v>
      </c>
      <c r="N430" s="67" t="s">
        <v>59</v>
      </c>
      <c r="O430" s="67">
        <v>42.39</v>
      </c>
      <c r="P430" s="68" t="s">
        <v>53</v>
      </c>
      <c r="Q430" s="67" t="s">
        <v>60</v>
      </c>
      <c r="R430" s="67">
        <v>8.22</v>
      </c>
      <c r="S430" s="69" t="s">
        <v>61</v>
      </c>
      <c r="T430" s="69">
        <v>250000</v>
      </c>
      <c r="U430" s="69"/>
      <c r="V430" s="69" t="s">
        <v>62</v>
      </c>
      <c r="W430" s="69">
        <v>10000</v>
      </c>
      <c r="X430" s="69"/>
      <c r="Y430" s="69" t="s">
        <v>63</v>
      </c>
      <c r="Z430" s="69">
        <v>2000</v>
      </c>
      <c r="AA430" s="69"/>
      <c r="AB430" s="70"/>
      <c r="AC430" s="69" t="s">
        <v>835</v>
      </c>
      <c r="AD430" s="69"/>
      <c r="AE430" s="71">
        <v>189309</v>
      </c>
      <c r="AF430" s="69"/>
      <c r="AG430" s="3" t="str">
        <f t="shared" ref="AG430:AG437" si="16">B430&amp;C430</f>
        <v>MarissaShih</v>
      </c>
      <c r="AH430" s="3" t="str">
        <f>VLOOKUP($AG430,[1]Sheet8!$B:$G,1,0)</f>
        <v>MARISSASHIH</v>
      </c>
      <c r="AI430" s="3" t="str">
        <f>VLOOKUP($AG430,[1]Sheet8!$B:$G,4,0)</f>
        <v>EE</v>
      </c>
      <c r="AJ430" s="3" t="str">
        <f>VLOOKUP($AG430,[1]Sheet8!$B:$G,5,0)</f>
        <v>L093530003</v>
      </c>
      <c r="AK430" s="3">
        <f>VLOOKUP($AG430,[1]Sheet8!$B:$G,6,0)</f>
        <v>8.22</v>
      </c>
      <c r="AL430" s="3" t="s">
        <v>53</v>
      </c>
      <c r="AM430" s="3" t="s">
        <v>82</v>
      </c>
      <c r="AN430" s="3">
        <v>781.79</v>
      </c>
      <c r="AO430" s="3" t="s">
        <v>53</v>
      </c>
      <c r="AP430" s="3" t="s">
        <v>59</v>
      </c>
      <c r="AQ430" s="3">
        <v>42.39</v>
      </c>
      <c r="AR430" s="3" t="s">
        <v>53</v>
      </c>
      <c r="AS430" s="3" t="s">
        <v>60</v>
      </c>
      <c r="AT430" s="3">
        <v>8.22</v>
      </c>
    </row>
    <row r="431" s="3" customFormat="1" ht="15" customHeight="1" spans="1:46">
      <c r="A431" s="60">
        <v>406</v>
      </c>
      <c r="B431" s="61" t="s">
        <v>836</v>
      </c>
      <c r="C431" s="61" t="s">
        <v>837</v>
      </c>
      <c r="D431" s="61" t="s">
        <v>52</v>
      </c>
      <c r="E431" s="62">
        <v>31999</v>
      </c>
      <c r="F431" s="61">
        <v>78660</v>
      </c>
      <c r="G431" s="61" t="s">
        <v>53</v>
      </c>
      <c r="H431" s="63" t="s">
        <v>54</v>
      </c>
      <c r="I431" s="64" t="s">
        <v>119</v>
      </c>
      <c r="J431" s="63" t="s">
        <v>56</v>
      </c>
      <c r="K431" s="65"/>
      <c r="L431" s="66"/>
      <c r="M431" s="67"/>
      <c r="N431" s="67"/>
      <c r="O431" s="67"/>
      <c r="P431" s="68"/>
      <c r="Q431" s="67"/>
      <c r="R431" s="67"/>
      <c r="S431" s="69" t="s">
        <v>61</v>
      </c>
      <c r="T431" s="69">
        <v>205000</v>
      </c>
      <c r="U431" s="69"/>
      <c r="V431" s="69" t="s">
        <v>62</v>
      </c>
      <c r="W431" s="69">
        <v>5675.34</v>
      </c>
      <c r="X431" s="69"/>
      <c r="Y431" s="69" t="s">
        <v>63</v>
      </c>
      <c r="Z431" s="69">
        <v>1179</v>
      </c>
      <c r="AA431" s="69"/>
      <c r="AB431" s="70"/>
      <c r="AC431" s="69" t="s">
        <v>460</v>
      </c>
      <c r="AD431" s="69"/>
      <c r="AE431" s="71">
        <v>104194</v>
      </c>
      <c r="AF431" s="69"/>
      <c r="AG431" s="3" t="str">
        <f t="shared" si="16"/>
        <v>JessicaShowalter</v>
      </c>
      <c r="AH431" s="3" t="e">
        <f>VLOOKUP($AG431,[1]Sheet8!$B:$G,1,0)</f>
        <v>#N/A</v>
      </c>
      <c r="AI431" s="3" t="e">
        <f>VLOOKUP($AG431,[1]Sheet8!$B:$G,4,0)</f>
        <v>#N/A</v>
      </c>
      <c r="AJ431" s="3" t="e">
        <f>VLOOKUP($AG431,[1]Sheet8!$B:$G,5,0)</f>
        <v>#N/A</v>
      </c>
      <c r="AK431" s="3" t="e">
        <f>VLOOKUP($AG431,[1]Sheet8!$B:$G,6,0)</f>
        <v>#N/A</v>
      </c>
    </row>
    <row r="432" s="3" customFormat="1" ht="15" customHeight="1" spans="1:46">
      <c r="A432" s="60">
        <v>407</v>
      </c>
      <c r="B432" s="61" t="s">
        <v>667</v>
      </c>
      <c r="C432" s="61" t="s">
        <v>838</v>
      </c>
      <c r="D432" s="61" t="s">
        <v>67</v>
      </c>
      <c r="E432" s="62">
        <v>33212</v>
      </c>
      <c r="F432" s="61">
        <v>10309</v>
      </c>
      <c r="G432" s="61" t="s">
        <v>53</v>
      </c>
      <c r="H432" s="63" t="s">
        <v>54</v>
      </c>
      <c r="I432" s="64" t="s">
        <v>53</v>
      </c>
      <c r="J432" s="63" t="s">
        <v>56</v>
      </c>
      <c r="K432" s="65" t="s">
        <v>57</v>
      </c>
      <c r="L432" s="66">
        <v>1235.83</v>
      </c>
      <c r="M432" s="67" t="s">
        <v>58</v>
      </c>
      <c r="N432" s="67" t="s">
        <v>59</v>
      </c>
      <c r="O432" s="67">
        <v>147.1</v>
      </c>
      <c r="P432" s="68" t="s">
        <v>55</v>
      </c>
      <c r="Q432" s="67" t="s">
        <v>60</v>
      </c>
      <c r="R432" s="67">
        <v>13.95</v>
      </c>
      <c r="S432" s="69" t="s">
        <v>61</v>
      </c>
      <c r="T432" s="69">
        <v>250000</v>
      </c>
      <c r="U432" s="69"/>
      <c r="V432" s="69" t="s">
        <v>62</v>
      </c>
      <c r="W432" s="69">
        <v>7259.59</v>
      </c>
      <c r="X432" s="69"/>
      <c r="Y432" s="69" t="s">
        <v>63</v>
      </c>
      <c r="Z432" s="69">
        <v>1508</v>
      </c>
      <c r="AA432" s="69"/>
      <c r="AB432" s="70"/>
      <c r="AC432" s="69" t="s">
        <v>98</v>
      </c>
      <c r="AD432" s="69"/>
      <c r="AE432" s="71">
        <v>135239</v>
      </c>
      <c r="AF432" s="69"/>
      <c r="AG432" s="3" t="str">
        <f t="shared" si="16"/>
        <v>DanielSilver</v>
      </c>
      <c r="AH432" s="3" t="str">
        <f>VLOOKUP($AG432,[1]Sheet8!$B:$G,1,0)</f>
        <v>DANIELSILVER</v>
      </c>
      <c r="AI432" s="3" t="str">
        <f>VLOOKUP($AG432,[1]Sheet8!$B:$G,4,0)</f>
        <v>EC</v>
      </c>
      <c r="AJ432" s="3" t="str">
        <f>VLOOKUP($AG432,[1]Sheet8!$B:$G,5,0)</f>
        <v>L093530003</v>
      </c>
      <c r="AK432" s="3">
        <f>VLOOKUP($AG432,[1]Sheet8!$B:$G,6,0)</f>
        <v>13.95</v>
      </c>
      <c r="AL432" s="3" t="s">
        <v>53</v>
      </c>
      <c r="AM432" s="3" t="s">
        <v>57</v>
      </c>
      <c r="AN432" s="3">
        <v>1235.83</v>
      </c>
      <c r="AO432" s="3" t="s">
        <v>58</v>
      </c>
      <c r="AP432" s="3" t="s">
        <v>59</v>
      </c>
      <c r="AQ432" s="3">
        <v>147.1</v>
      </c>
      <c r="AR432" s="3" t="s">
        <v>55</v>
      </c>
      <c r="AS432" s="3" t="s">
        <v>60</v>
      </c>
      <c r="AT432" s="3">
        <v>13.95</v>
      </c>
    </row>
    <row r="433" s="3" customFormat="1" ht="15" customHeight="1" spans="1:46">
      <c r="A433" s="60">
        <v>408</v>
      </c>
      <c r="B433" s="61" t="s">
        <v>839</v>
      </c>
      <c r="C433" s="61" t="s">
        <v>838</v>
      </c>
      <c r="D433" s="61" t="s">
        <v>67</v>
      </c>
      <c r="E433" s="62">
        <v>36673</v>
      </c>
      <c r="F433" s="61">
        <v>11225</v>
      </c>
      <c r="G433" s="61" t="s">
        <v>53</v>
      </c>
      <c r="H433" s="63" t="s">
        <v>54</v>
      </c>
      <c r="I433" s="64" t="s">
        <v>53</v>
      </c>
      <c r="J433" s="63" t="s">
        <v>56</v>
      </c>
      <c r="K433" s="65" t="s">
        <v>82</v>
      </c>
      <c r="L433" s="66">
        <v>781.79</v>
      </c>
      <c r="M433" s="67" t="s">
        <v>53</v>
      </c>
      <c r="N433" s="67" t="s">
        <v>59</v>
      </c>
      <c r="O433" s="67">
        <v>42.39</v>
      </c>
      <c r="P433" s="68" t="s">
        <v>53</v>
      </c>
      <c r="Q433" s="67" t="s">
        <v>60</v>
      </c>
      <c r="R433" s="67">
        <v>8.22</v>
      </c>
      <c r="S433" s="69" t="s">
        <v>61</v>
      </c>
      <c r="T433" s="69">
        <v>129000</v>
      </c>
      <c r="U433" s="69"/>
      <c r="V433" s="69" t="s">
        <v>62</v>
      </c>
      <c r="W433" s="69">
        <v>3575.18</v>
      </c>
      <c r="X433" s="69"/>
      <c r="Y433" s="69" t="s">
        <v>63</v>
      </c>
      <c r="Z433" s="69">
        <v>743</v>
      </c>
      <c r="AA433" s="69"/>
      <c r="AB433" s="70"/>
      <c r="AC433" s="69" t="s">
        <v>120</v>
      </c>
      <c r="AD433" s="69"/>
      <c r="AE433" s="71">
        <v>66602</v>
      </c>
      <c r="AF433" s="69"/>
      <c r="AG433" s="3" t="str">
        <f t="shared" si="16"/>
        <v>AriSilver</v>
      </c>
      <c r="AH433" s="3" t="str">
        <f>VLOOKUP($AG433,[1]Sheet8!$B:$G,1,0)</f>
        <v>ARISILVER</v>
      </c>
      <c r="AI433" s="3" t="str">
        <f>VLOOKUP($AG433,[1]Sheet8!$B:$G,4,0)</f>
        <v>EE</v>
      </c>
      <c r="AJ433" s="3" t="str">
        <f>VLOOKUP($AG433,[1]Sheet8!$B:$G,5,0)</f>
        <v>L093530003</v>
      </c>
      <c r="AK433" s="3">
        <f>VLOOKUP($AG433,[1]Sheet8!$B:$G,6,0)</f>
        <v>8.22</v>
      </c>
      <c r="AL433" s="3" t="s">
        <v>53</v>
      </c>
      <c r="AM433" s="3" t="s">
        <v>82</v>
      </c>
      <c r="AN433" s="3">
        <v>781.79</v>
      </c>
      <c r="AO433" s="3" t="s">
        <v>53</v>
      </c>
      <c r="AP433" s="3" t="s">
        <v>59</v>
      </c>
      <c r="AQ433" s="3">
        <v>42.39</v>
      </c>
      <c r="AR433" s="3" t="s">
        <v>53</v>
      </c>
      <c r="AS433" s="3" t="s">
        <v>60</v>
      </c>
      <c r="AT433" s="3">
        <v>8.22</v>
      </c>
    </row>
    <row r="434" s="3" customFormat="1" ht="15" customHeight="1" spans="1:46">
      <c r="A434" s="60">
        <v>409</v>
      </c>
      <c r="B434" s="61" t="s">
        <v>518</v>
      </c>
      <c r="C434" s="61" t="s">
        <v>840</v>
      </c>
      <c r="D434" s="61" t="s">
        <v>67</v>
      </c>
      <c r="E434" s="62">
        <v>35669</v>
      </c>
      <c r="F434" s="61">
        <v>94122</v>
      </c>
      <c r="G434" s="61" t="s">
        <v>53</v>
      </c>
      <c r="H434" s="63" t="s">
        <v>54</v>
      </c>
      <c r="I434" s="64" t="s">
        <v>53</v>
      </c>
      <c r="J434" s="63" t="s">
        <v>56</v>
      </c>
      <c r="K434" s="65" t="s">
        <v>82</v>
      </c>
      <c r="L434" s="66">
        <v>781.79</v>
      </c>
      <c r="M434" s="67" t="s">
        <v>81</v>
      </c>
      <c r="N434" s="67" t="s">
        <v>59</v>
      </c>
      <c r="O434" s="67">
        <v>84.72</v>
      </c>
      <c r="P434" s="68" t="s">
        <v>81</v>
      </c>
      <c r="Q434" s="67" t="s">
        <v>60</v>
      </c>
      <c r="R434" s="67">
        <v>16.48</v>
      </c>
      <c r="S434" s="69" t="s">
        <v>61</v>
      </c>
      <c r="T434" s="69">
        <v>217000</v>
      </c>
      <c r="U434" s="69"/>
      <c r="V434" s="69" t="s">
        <v>62</v>
      </c>
      <c r="W434" s="69">
        <v>6021.19</v>
      </c>
      <c r="X434" s="69"/>
      <c r="Y434" s="69" t="s">
        <v>63</v>
      </c>
      <c r="Z434" s="69">
        <v>1250</v>
      </c>
      <c r="AA434" s="69"/>
      <c r="AB434" s="70"/>
      <c r="AC434" s="69" t="s">
        <v>64</v>
      </c>
      <c r="AD434" s="69"/>
      <c r="AE434" s="71">
        <v>111627</v>
      </c>
      <c r="AF434" s="69"/>
      <c r="AG434" s="3" t="str">
        <f t="shared" si="16"/>
        <v>JordanSingh</v>
      </c>
      <c r="AH434" s="3" t="str">
        <f>VLOOKUP($AG434,[1]Sheet8!$B:$G,1,0)</f>
        <v>JORDANSINGH</v>
      </c>
      <c r="AI434" s="3" t="str">
        <f>VLOOKUP($AG434,[1]Sheet8!$B:$G,4,0)</f>
        <v>ES</v>
      </c>
      <c r="AJ434" s="3" t="str">
        <f>VLOOKUP($AG434,[1]Sheet8!$B:$G,5,0)</f>
        <v>L093530003</v>
      </c>
      <c r="AK434" s="3">
        <f>VLOOKUP($AG434,[1]Sheet8!$B:$G,6,0)</f>
        <v>16.48</v>
      </c>
      <c r="AL434" s="3" t="s">
        <v>53</v>
      </c>
      <c r="AM434" s="3" t="s">
        <v>82</v>
      </c>
      <c r="AN434" s="3">
        <v>781.79</v>
      </c>
      <c r="AO434" s="3" t="s">
        <v>81</v>
      </c>
      <c r="AP434" s="3" t="s">
        <v>59</v>
      </c>
      <c r="AQ434" s="3">
        <v>84.72</v>
      </c>
      <c r="AR434" s="3" t="s">
        <v>81</v>
      </c>
      <c r="AS434" s="3" t="s">
        <v>60</v>
      </c>
      <c r="AT434" s="3">
        <v>16.48</v>
      </c>
    </row>
    <row r="435" s="3" customFormat="1" ht="15" customHeight="1" spans="1:46">
      <c r="A435" s="60">
        <v>410</v>
      </c>
      <c r="B435" s="61" t="s">
        <v>841</v>
      </c>
      <c r="C435" s="61" t="s">
        <v>840</v>
      </c>
      <c r="D435" s="61" t="s">
        <v>67</v>
      </c>
      <c r="E435" s="62">
        <v>33818</v>
      </c>
      <c r="F435" s="61">
        <v>95833</v>
      </c>
      <c r="G435" s="61" t="s">
        <v>53</v>
      </c>
      <c r="H435" s="63" t="s">
        <v>54</v>
      </c>
      <c r="I435" s="64" t="s">
        <v>53</v>
      </c>
      <c r="J435" s="63" t="s">
        <v>56</v>
      </c>
      <c r="K435" s="65" t="s">
        <v>57</v>
      </c>
      <c r="L435" s="66">
        <v>1235.83</v>
      </c>
      <c r="M435" s="67" t="s">
        <v>53</v>
      </c>
      <c r="N435" s="67" t="s">
        <v>59</v>
      </c>
      <c r="O435" s="67">
        <v>42.39</v>
      </c>
      <c r="P435" s="68" t="s">
        <v>53</v>
      </c>
      <c r="Q435" s="67" t="s">
        <v>60</v>
      </c>
      <c r="R435" s="67">
        <v>8.22</v>
      </c>
      <c r="S435" s="69" t="s">
        <v>61</v>
      </c>
      <c r="T435" s="69">
        <v>140000</v>
      </c>
      <c r="U435" s="69"/>
      <c r="V435" s="69" t="s">
        <v>62</v>
      </c>
      <c r="W435" s="69">
        <v>3884.08</v>
      </c>
      <c r="X435" s="69"/>
      <c r="Y435" s="69" t="s">
        <v>63</v>
      </c>
      <c r="Z435" s="69">
        <v>807</v>
      </c>
      <c r="AA435" s="69"/>
      <c r="AB435" s="70"/>
      <c r="AC435" s="69" t="s">
        <v>550</v>
      </c>
      <c r="AD435" s="69"/>
      <c r="AE435" s="71">
        <v>72707</v>
      </c>
      <c r="AF435" s="69"/>
      <c r="AG435" s="3" t="str">
        <f t="shared" si="16"/>
        <v>RishendraSingh</v>
      </c>
      <c r="AH435" s="3" t="str">
        <f>VLOOKUP($AG435,[1]Sheet8!$B:$G,1,0)</f>
        <v>RISHENDRASINGH</v>
      </c>
      <c r="AI435" s="3" t="str">
        <f>VLOOKUP($AG435,[1]Sheet8!$B:$G,4,0)</f>
        <v>EE</v>
      </c>
      <c r="AJ435" s="3" t="str">
        <f>VLOOKUP($AG435,[1]Sheet8!$B:$G,5,0)</f>
        <v>L093530003</v>
      </c>
      <c r="AK435" s="3">
        <f>VLOOKUP($AG435,[1]Sheet8!$B:$G,6,0)</f>
        <v>8.22</v>
      </c>
      <c r="AL435" s="3" t="s">
        <v>53</v>
      </c>
      <c r="AM435" s="3" t="s">
        <v>57</v>
      </c>
      <c r="AN435" s="3">
        <v>1235.83</v>
      </c>
      <c r="AO435" s="3" t="s">
        <v>53</v>
      </c>
      <c r="AP435" s="3" t="s">
        <v>59</v>
      </c>
      <c r="AQ435" s="3">
        <v>42.39</v>
      </c>
      <c r="AR435" s="3" t="s">
        <v>53</v>
      </c>
      <c r="AS435" s="3" t="s">
        <v>60</v>
      </c>
      <c r="AT435" s="3">
        <v>8.22</v>
      </c>
    </row>
    <row r="436" s="3" customFormat="1" ht="15" customHeight="1" spans="1:46">
      <c r="A436" s="60">
        <v>411</v>
      </c>
      <c r="B436" s="61" t="s">
        <v>842</v>
      </c>
      <c r="C436" s="61" t="s">
        <v>843</v>
      </c>
      <c r="D436" s="61" t="s">
        <v>52</v>
      </c>
      <c r="E436" s="62">
        <v>35420</v>
      </c>
      <c r="F436" s="61">
        <v>90670</v>
      </c>
      <c r="G436" s="61" t="s">
        <v>53</v>
      </c>
      <c r="H436" s="63" t="s">
        <v>54</v>
      </c>
      <c r="I436" s="64" t="s">
        <v>53</v>
      </c>
      <c r="J436" s="63" t="s">
        <v>56</v>
      </c>
      <c r="K436" s="65" t="s">
        <v>82</v>
      </c>
      <c r="L436" s="66">
        <v>781.79</v>
      </c>
      <c r="M436" s="67" t="s">
        <v>53</v>
      </c>
      <c r="N436" s="67" t="s">
        <v>59</v>
      </c>
      <c r="O436" s="67">
        <v>42.39</v>
      </c>
      <c r="P436" s="68" t="s">
        <v>53</v>
      </c>
      <c r="Q436" s="67" t="s">
        <v>60</v>
      </c>
      <c r="R436" s="67">
        <v>8.22</v>
      </c>
      <c r="S436" s="69" t="s">
        <v>61</v>
      </c>
      <c r="T436" s="69">
        <v>143000</v>
      </c>
      <c r="U436" s="69"/>
      <c r="V436" s="69" t="s">
        <v>62</v>
      </c>
      <c r="W436" s="69">
        <v>3965.7</v>
      </c>
      <c r="X436" s="69"/>
      <c r="Y436" s="69" t="s">
        <v>63</v>
      </c>
      <c r="Z436" s="69">
        <v>824</v>
      </c>
      <c r="AA436" s="69"/>
      <c r="AB436" s="70"/>
      <c r="AC436" s="69" t="s">
        <v>844</v>
      </c>
      <c r="AD436" s="69"/>
      <c r="AE436" s="71">
        <v>73163</v>
      </c>
      <c r="AF436" s="69"/>
      <c r="AG436" s="3" t="str">
        <f t="shared" si="16"/>
        <v>SovannrothSiv</v>
      </c>
      <c r="AH436" s="3" t="str">
        <f>VLOOKUP($AG436,[1]Sheet8!$B:$G,1,0)</f>
        <v>SOVANNROTHSIV</v>
      </c>
      <c r="AI436" s="3" t="str">
        <f>VLOOKUP($AG436,[1]Sheet8!$B:$G,4,0)</f>
        <v>EE</v>
      </c>
      <c r="AJ436" s="3" t="str">
        <f>VLOOKUP($AG436,[1]Sheet8!$B:$G,5,0)</f>
        <v>L093530003</v>
      </c>
      <c r="AK436" s="3">
        <f>VLOOKUP($AG436,[1]Sheet8!$B:$G,6,0)</f>
        <v>8.22</v>
      </c>
      <c r="AL436" s="3" t="s">
        <v>53</v>
      </c>
      <c r="AM436" s="3" t="s">
        <v>82</v>
      </c>
      <c r="AN436" s="3">
        <v>781.79</v>
      </c>
      <c r="AO436" s="3" t="s">
        <v>53</v>
      </c>
      <c r="AP436" s="3" t="s">
        <v>59</v>
      </c>
      <c r="AQ436" s="3">
        <v>42.39</v>
      </c>
      <c r="AR436" s="3" t="s">
        <v>53</v>
      </c>
      <c r="AS436" s="3" t="s">
        <v>60</v>
      </c>
      <c r="AT436" s="3">
        <v>8.22</v>
      </c>
    </row>
    <row r="437" s="3" customFormat="1" ht="15" customHeight="1" spans="1:46">
      <c r="A437" s="60">
        <v>412</v>
      </c>
      <c r="B437" s="61" t="s">
        <v>845</v>
      </c>
      <c r="C437" s="61" t="s">
        <v>846</v>
      </c>
      <c r="D437" s="61" t="s">
        <v>67</v>
      </c>
      <c r="E437" s="62">
        <v>29322</v>
      </c>
      <c r="F437" s="61">
        <v>30340</v>
      </c>
      <c r="G437" s="61" t="s">
        <v>53</v>
      </c>
      <c r="H437" s="63" t="s">
        <v>54</v>
      </c>
      <c r="I437" s="64" t="s">
        <v>58</v>
      </c>
      <c r="J437" s="63" t="s">
        <v>56</v>
      </c>
      <c r="K437" s="65" t="s">
        <v>57</v>
      </c>
      <c r="L437" s="66">
        <v>3831.06</v>
      </c>
      <c r="M437" s="67" t="s">
        <v>58</v>
      </c>
      <c r="N437" s="67" t="s">
        <v>59</v>
      </c>
      <c r="O437" s="67">
        <v>147.1</v>
      </c>
      <c r="P437" s="68" t="s">
        <v>58</v>
      </c>
      <c r="Q437" s="67" t="s">
        <v>60</v>
      </c>
      <c r="R437" s="67">
        <v>23</v>
      </c>
      <c r="S437" s="69" t="s">
        <v>61</v>
      </c>
      <c r="T437" s="69">
        <v>250000</v>
      </c>
      <c r="U437" s="69"/>
      <c r="V437" s="69" t="s">
        <v>62</v>
      </c>
      <c r="W437" s="69">
        <v>9125.46</v>
      </c>
      <c r="X437" s="69"/>
      <c r="Y437" s="69" t="s">
        <v>63</v>
      </c>
      <c r="Z437" s="69">
        <v>1895</v>
      </c>
      <c r="AA437" s="69"/>
      <c r="AB437" s="70"/>
      <c r="AC437" s="69" t="s">
        <v>847</v>
      </c>
      <c r="AD437" s="69"/>
      <c r="AE437" s="71">
        <v>175748</v>
      </c>
      <c r="AF437" s="69"/>
      <c r="AG437" s="3" t="str">
        <f t="shared" si="16"/>
        <v>NathanSmith</v>
      </c>
      <c r="AH437" s="3" t="str">
        <f>VLOOKUP($AG437,[1]Sheet8!$B:$G,1,0)</f>
        <v>NATHANSMITH</v>
      </c>
      <c r="AI437" s="3" t="str">
        <f>VLOOKUP($AG437,[1]Sheet8!$B:$G,4,0)</f>
        <v>FAM</v>
      </c>
      <c r="AJ437" s="3" t="str">
        <f>VLOOKUP($AG437,[1]Sheet8!$B:$G,5,0)</f>
        <v>L093530003</v>
      </c>
      <c r="AK437" s="3">
        <f>VLOOKUP($AG437,[1]Sheet8!$B:$G,6,0)</f>
        <v>23</v>
      </c>
      <c r="AL437" s="3" t="s">
        <v>58</v>
      </c>
      <c r="AM437" s="3" t="s">
        <v>57</v>
      </c>
      <c r="AN437" s="3">
        <v>3831.06</v>
      </c>
      <c r="AO437" s="3" t="s">
        <v>58</v>
      </c>
      <c r="AP437" s="3" t="s">
        <v>59</v>
      </c>
      <c r="AQ437" s="3">
        <v>147.1</v>
      </c>
      <c r="AR437" s="3" t="s">
        <v>58</v>
      </c>
      <c r="AS437" s="3" t="s">
        <v>60</v>
      </c>
      <c r="AT437" s="3">
        <v>23</v>
      </c>
    </row>
    <row r="438" s="3" customFormat="1" ht="15" customHeight="1" spans="1:46">
      <c r="A438" s="60">
        <v>413</v>
      </c>
      <c r="B438" s="61" t="s">
        <v>848</v>
      </c>
      <c r="C438" s="61" t="s">
        <v>846</v>
      </c>
      <c r="D438" s="61" t="s">
        <v>52</v>
      </c>
      <c r="E438" s="62">
        <v>41243</v>
      </c>
      <c r="F438" s="61">
        <v>30340</v>
      </c>
      <c r="G438" s="61" t="s">
        <v>68</v>
      </c>
      <c r="H438" s="63">
        <v>412</v>
      </c>
      <c r="I438" s="64" t="s">
        <v>58</v>
      </c>
      <c r="J438" s="63" t="s">
        <v>56</v>
      </c>
      <c r="K438" s="65"/>
      <c r="L438" s="66"/>
      <c r="M438" s="67"/>
      <c r="N438" s="67"/>
      <c r="O438" s="67"/>
      <c r="P438" s="68"/>
      <c r="Q438" s="67"/>
      <c r="R438" s="67"/>
      <c r="S438" s="69"/>
      <c r="T438" s="69"/>
      <c r="U438" s="69"/>
      <c r="V438" s="69"/>
      <c r="W438" s="69"/>
      <c r="X438" s="69"/>
      <c r="Y438" s="69"/>
      <c r="Z438" s="69"/>
      <c r="AA438" s="69"/>
      <c r="AB438" s="70"/>
      <c r="AC438" s="69"/>
      <c r="AD438" s="69"/>
      <c r="AE438" s="71"/>
      <c r="AF438" s="69"/>
    </row>
    <row r="439" s="3" customFormat="1" ht="15" customHeight="1" spans="1:46">
      <c r="A439" s="60">
        <v>414</v>
      </c>
      <c r="B439" s="61" t="s">
        <v>524</v>
      </c>
      <c r="C439" s="61" t="s">
        <v>846</v>
      </c>
      <c r="D439" s="61" t="s">
        <v>52</v>
      </c>
      <c r="E439" s="62">
        <v>40420</v>
      </c>
      <c r="F439" s="61">
        <v>30340</v>
      </c>
      <c r="G439" s="61" t="s">
        <v>68</v>
      </c>
      <c r="H439" s="63">
        <v>412</v>
      </c>
      <c r="I439" s="64" t="s">
        <v>58</v>
      </c>
      <c r="J439" s="63" t="s">
        <v>56</v>
      </c>
      <c r="K439" s="65"/>
      <c r="L439" s="66"/>
      <c r="M439" s="67"/>
      <c r="N439" s="67"/>
      <c r="O439" s="67"/>
      <c r="P439" s="68"/>
      <c r="Q439" s="67"/>
      <c r="R439" s="67"/>
      <c r="S439" s="69"/>
      <c r="T439" s="69"/>
      <c r="U439" s="69"/>
      <c r="V439" s="69"/>
      <c r="W439" s="69"/>
      <c r="X439" s="69"/>
      <c r="Y439" s="69"/>
      <c r="Z439" s="69"/>
      <c r="AA439" s="69"/>
      <c r="AB439" s="70"/>
      <c r="AC439" s="69"/>
      <c r="AD439" s="69"/>
      <c r="AE439" s="71"/>
      <c r="AF439" s="69"/>
    </row>
    <row r="440" s="3" customFormat="1" ht="15" customHeight="1" spans="1:46">
      <c r="A440" s="60">
        <v>415</v>
      </c>
      <c r="B440" s="61" t="s">
        <v>849</v>
      </c>
      <c r="C440" s="61" t="s">
        <v>846</v>
      </c>
      <c r="D440" s="61" t="s">
        <v>52</v>
      </c>
      <c r="E440" s="62">
        <v>28538</v>
      </c>
      <c r="F440" s="61">
        <v>30340</v>
      </c>
      <c r="G440" s="61" t="s">
        <v>85</v>
      </c>
      <c r="H440" s="63">
        <v>412</v>
      </c>
      <c r="I440" s="64" t="s">
        <v>58</v>
      </c>
      <c r="J440" s="63" t="s">
        <v>56</v>
      </c>
      <c r="K440" s="65"/>
      <c r="L440" s="66"/>
      <c r="M440" s="67"/>
      <c r="N440" s="67"/>
      <c r="O440" s="67"/>
      <c r="P440" s="68"/>
      <c r="Q440" s="67"/>
      <c r="R440" s="67"/>
      <c r="S440" s="69"/>
      <c r="T440" s="69"/>
      <c r="U440" s="69"/>
      <c r="V440" s="69"/>
      <c r="W440" s="69"/>
      <c r="X440" s="69"/>
      <c r="Y440" s="69"/>
      <c r="Z440" s="69"/>
      <c r="AA440" s="69"/>
      <c r="AB440" s="70"/>
      <c r="AC440" s="69"/>
      <c r="AD440" s="69"/>
      <c r="AE440" s="71"/>
      <c r="AF440" s="69"/>
    </row>
    <row r="441" s="3" customFormat="1" ht="15" customHeight="1" spans="1:46">
      <c r="A441" s="60">
        <v>416</v>
      </c>
      <c r="B441" s="61" t="s">
        <v>850</v>
      </c>
      <c r="C441" s="61" t="s">
        <v>846</v>
      </c>
      <c r="D441" s="61" t="s">
        <v>52</v>
      </c>
      <c r="E441" s="62">
        <v>36795</v>
      </c>
      <c r="F441" s="61"/>
      <c r="G441" s="61" t="s">
        <v>53</v>
      </c>
      <c r="H441" s="63" t="s">
        <v>54</v>
      </c>
      <c r="I441" s="64" t="s">
        <v>119</v>
      </c>
      <c r="J441" s="63" t="s">
        <v>56</v>
      </c>
      <c r="K441" s="65"/>
      <c r="L441" s="66"/>
      <c r="M441" s="67"/>
      <c r="N441" s="67"/>
      <c r="O441" s="67"/>
      <c r="P441" s="68"/>
      <c r="Q441" s="67"/>
      <c r="R441" s="67"/>
      <c r="S441" s="69" t="s">
        <v>61</v>
      </c>
      <c r="T441" s="69">
        <v>118000</v>
      </c>
      <c r="U441" s="69"/>
      <c r="V441" s="69" t="s">
        <v>62</v>
      </c>
      <c r="W441" s="69">
        <v>3258.77</v>
      </c>
      <c r="X441" s="69"/>
      <c r="Y441" s="69" t="s">
        <v>63</v>
      </c>
      <c r="Z441" s="69">
        <v>677</v>
      </c>
      <c r="AA441" s="69"/>
      <c r="AB441" s="70"/>
      <c r="AC441" s="69" t="s">
        <v>138</v>
      </c>
      <c r="AD441" s="69"/>
      <c r="AE441" s="71">
        <v>58655</v>
      </c>
      <c r="AF441" s="69"/>
      <c r="AG441" s="3" t="str">
        <f>B441&amp;C441</f>
        <v>AnayaSmith</v>
      </c>
      <c r="AH441" s="3" t="e">
        <f>VLOOKUP($AG441,[1]Sheet8!$B:$G,1,0)</f>
        <v>#N/A</v>
      </c>
      <c r="AI441" s="3" t="e">
        <f>VLOOKUP($AG441,[1]Sheet8!$B:$G,4,0)</f>
        <v>#N/A</v>
      </c>
      <c r="AJ441" s="3" t="e">
        <f>VLOOKUP($AG441,[1]Sheet8!$B:$G,5,0)</f>
        <v>#N/A</v>
      </c>
      <c r="AK441" s="3" t="e">
        <f>VLOOKUP($AG441,[1]Sheet8!$B:$G,6,0)</f>
        <v>#N/A</v>
      </c>
    </row>
    <row r="442" s="3" customFormat="1" ht="15" customHeight="1" spans="1:46">
      <c r="A442" s="60">
        <v>417</v>
      </c>
      <c r="B442" s="61" t="s">
        <v>851</v>
      </c>
      <c r="C442" s="61" t="s">
        <v>852</v>
      </c>
      <c r="D442" s="61" t="s">
        <v>67</v>
      </c>
      <c r="E442" s="62">
        <v>27485</v>
      </c>
      <c r="F442" s="61">
        <v>45040</v>
      </c>
      <c r="G442" s="61" t="s">
        <v>53</v>
      </c>
      <c r="H442" s="63" t="s">
        <v>54</v>
      </c>
      <c r="I442" s="64" t="s">
        <v>58</v>
      </c>
      <c r="J442" s="63" t="s">
        <v>56</v>
      </c>
      <c r="K442" s="65" t="s">
        <v>57</v>
      </c>
      <c r="L442" s="66">
        <v>3831.06</v>
      </c>
      <c r="M442" s="67" t="s">
        <v>58</v>
      </c>
      <c r="N442" s="67" t="s">
        <v>59</v>
      </c>
      <c r="O442" s="67">
        <v>147.1</v>
      </c>
      <c r="P442" s="68" t="s">
        <v>58</v>
      </c>
      <c r="Q442" s="67" t="s">
        <v>60</v>
      </c>
      <c r="R442" s="67">
        <v>23</v>
      </c>
      <c r="S442" s="69" t="s">
        <v>61</v>
      </c>
      <c r="T442" s="69">
        <v>250000</v>
      </c>
      <c r="U442" s="69"/>
      <c r="V442" s="69" t="s">
        <v>62</v>
      </c>
      <c r="W442" s="69">
        <v>7055.91</v>
      </c>
      <c r="X442" s="69"/>
      <c r="Y442" s="69" t="s">
        <v>63</v>
      </c>
      <c r="Z442" s="69">
        <v>1465</v>
      </c>
      <c r="AA442" s="69"/>
      <c r="AB442" s="70"/>
      <c r="AC442" s="69" t="s">
        <v>853</v>
      </c>
      <c r="AD442" s="69"/>
      <c r="AE442" s="71">
        <v>128905</v>
      </c>
      <c r="AF442" s="69"/>
      <c r="AG442" s="3" t="str">
        <f>B442&amp;C442</f>
        <v>JustinSodano</v>
      </c>
      <c r="AH442" s="3" t="str">
        <f>VLOOKUP($AG442,[1]Sheet8!$B:$G,1,0)</f>
        <v>JUSTINSODANO</v>
      </c>
      <c r="AI442" s="3" t="str">
        <f>VLOOKUP($AG442,[1]Sheet8!$B:$G,4,0)</f>
        <v>FAM</v>
      </c>
      <c r="AJ442" s="3" t="str">
        <f>VLOOKUP($AG442,[1]Sheet8!$B:$G,5,0)</f>
        <v>L093530003</v>
      </c>
      <c r="AK442" s="3">
        <f>VLOOKUP($AG442,[1]Sheet8!$B:$G,6,0)</f>
        <v>23</v>
      </c>
      <c r="AL442" s="3" t="s">
        <v>58</v>
      </c>
      <c r="AM442" s="3" t="s">
        <v>57</v>
      </c>
      <c r="AN442" s="3">
        <v>3831.06</v>
      </c>
      <c r="AO442" s="3" t="s">
        <v>58</v>
      </c>
      <c r="AP442" s="3" t="s">
        <v>59</v>
      </c>
      <c r="AQ442" s="3">
        <v>147.1</v>
      </c>
      <c r="AR442" s="3" t="s">
        <v>58</v>
      </c>
      <c r="AS442" s="3" t="s">
        <v>60</v>
      </c>
      <c r="AT442" s="3">
        <v>23</v>
      </c>
    </row>
    <row r="443" s="3" customFormat="1" ht="15" customHeight="1" spans="1:46">
      <c r="A443" s="60">
        <v>418</v>
      </c>
      <c r="B443" s="61" t="s">
        <v>854</v>
      </c>
      <c r="C443" s="61" t="s">
        <v>852</v>
      </c>
      <c r="D443" s="61" t="s">
        <v>52</v>
      </c>
      <c r="E443" s="62">
        <v>39759</v>
      </c>
      <c r="F443" s="61">
        <v>45040</v>
      </c>
      <c r="G443" s="61" t="s">
        <v>68</v>
      </c>
      <c r="H443" s="63">
        <v>417</v>
      </c>
      <c r="I443" s="64" t="s">
        <v>58</v>
      </c>
      <c r="J443" s="63" t="s">
        <v>56</v>
      </c>
      <c r="K443" s="65"/>
      <c r="L443" s="66"/>
      <c r="M443" s="67"/>
      <c r="N443" s="67"/>
      <c r="O443" s="67"/>
      <c r="P443" s="68"/>
      <c r="Q443" s="67"/>
      <c r="R443" s="67"/>
      <c r="S443" s="69"/>
      <c r="T443" s="69"/>
      <c r="U443" s="69"/>
      <c r="V443" s="69"/>
      <c r="W443" s="69"/>
      <c r="X443" s="69"/>
      <c r="Y443" s="69"/>
      <c r="Z443" s="69"/>
      <c r="AA443" s="69"/>
      <c r="AB443" s="70"/>
      <c r="AC443" s="69"/>
      <c r="AD443" s="69"/>
      <c r="AE443" s="71"/>
      <c r="AF443" s="69"/>
    </row>
    <row r="444" s="3" customFormat="1" ht="15" customHeight="1" spans="1:46">
      <c r="A444" s="60">
        <v>419</v>
      </c>
      <c r="B444" s="61" t="s">
        <v>855</v>
      </c>
      <c r="C444" s="61" t="s">
        <v>852</v>
      </c>
      <c r="D444" s="61" t="s">
        <v>67</v>
      </c>
      <c r="E444" s="62">
        <v>41326</v>
      </c>
      <c r="F444" s="61">
        <v>45040</v>
      </c>
      <c r="G444" s="61" t="s">
        <v>68</v>
      </c>
      <c r="H444" s="63">
        <v>417</v>
      </c>
      <c r="I444" s="64" t="s">
        <v>58</v>
      </c>
      <c r="J444" s="63" t="s">
        <v>56</v>
      </c>
      <c r="K444" s="65"/>
      <c r="L444" s="66"/>
      <c r="M444" s="67"/>
      <c r="N444" s="67"/>
      <c r="O444" s="67"/>
      <c r="P444" s="68"/>
      <c r="Q444" s="67"/>
      <c r="R444" s="67"/>
      <c r="S444" s="69"/>
      <c r="T444" s="69"/>
      <c r="U444" s="69"/>
      <c r="V444" s="69"/>
      <c r="W444" s="69"/>
      <c r="X444" s="69"/>
      <c r="Y444" s="69"/>
      <c r="Z444" s="69"/>
      <c r="AA444" s="69"/>
      <c r="AB444" s="70"/>
      <c r="AC444" s="69"/>
      <c r="AD444" s="69"/>
      <c r="AE444" s="71"/>
      <c r="AF444" s="69"/>
    </row>
    <row r="445" s="3" customFormat="1" ht="15" customHeight="1" spans="1:46">
      <c r="A445" s="60">
        <v>420</v>
      </c>
      <c r="B445" s="61" t="s">
        <v>856</v>
      </c>
      <c r="C445" s="61" t="s">
        <v>852</v>
      </c>
      <c r="D445" s="61" t="s">
        <v>67</v>
      </c>
      <c r="E445" s="62">
        <v>38405</v>
      </c>
      <c r="F445" s="61">
        <v>45040</v>
      </c>
      <c r="G445" s="61" t="s">
        <v>68</v>
      </c>
      <c r="H445" s="63">
        <v>417</v>
      </c>
      <c r="I445" s="64" t="s">
        <v>58</v>
      </c>
      <c r="J445" s="63" t="s">
        <v>56</v>
      </c>
      <c r="K445" s="65"/>
      <c r="L445" s="66"/>
      <c r="M445" s="67"/>
      <c r="N445" s="67"/>
      <c r="O445" s="67"/>
      <c r="P445" s="68"/>
      <c r="Q445" s="67"/>
      <c r="R445" s="67"/>
      <c r="S445" s="69"/>
      <c r="T445" s="69"/>
      <c r="U445" s="69"/>
      <c r="V445" s="69"/>
      <c r="W445" s="69"/>
      <c r="X445" s="69"/>
      <c r="Y445" s="69"/>
      <c r="Z445" s="69"/>
      <c r="AA445" s="69"/>
      <c r="AB445" s="70"/>
      <c r="AC445" s="69"/>
      <c r="AD445" s="69"/>
      <c r="AE445" s="71"/>
      <c r="AF445" s="69"/>
    </row>
    <row r="446" s="3" customFormat="1" ht="15" customHeight="1" spans="1:46">
      <c r="A446" s="60">
        <v>421</v>
      </c>
      <c r="B446" s="61" t="s">
        <v>857</v>
      </c>
      <c r="C446" s="61" t="s">
        <v>852</v>
      </c>
      <c r="D446" s="61" t="s">
        <v>52</v>
      </c>
      <c r="E446" s="62">
        <v>28497</v>
      </c>
      <c r="F446" s="61">
        <v>45040</v>
      </c>
      <c r="G446" s="61" t="s">
        <v>85</v>
      </c>
      <c r="H446" s="63">
        <v>417</v>
      </c>
      <c r="I446" s="64" t="s">
        <v>58</v>
      </c>
      <c r="J446" s="63" t="s">
        <v>56</v>
      </c>
      <c r="K446" s="65"/>
      <c r="L446" s="66"/>
      <c r="M446" s="67"/>
      <c r="N446" s="67"/>
      <c r="O446" s="67"/>
      <c r="P446" s="68"/>
      <c r="Q446" s="67"/>
      <c r="R446" s="67"/>
      <c r="S446" s="69"/>
      <c r="T446" s="69"/>
      <c r="U446" s="69"/>
      <c r="V446" s="69"/>
      <c r="W446" s="69"/>
      <c r="X446" s="69"/>
      <c r="Y446" s="69"/>
      <c r="Z446" s="69"/>
      <c r="AA446" s="69"/>
      <c r="AB446" s="70"/>
      <c r="AC446" s="69"/>
      <c r="AD446" s="69"/>
      <c r="AE446" s="71"/>
      <c r="AF446" s="69"/>
    </row>
    <row r="447" s="3" customFormat="1" ht="15" customHeight="1" spans="1:46">
      <c r="A447" s="60">
        <v>422</v>
      </c>
      <c r="B447" s="61" t="s">
        <v>858</v>
      </c>
      <c r="C447" s="61" t="s">
        <v>859</v>
      </c>
      <c r="D447" s="61" t="s">
        <v>52</v>
      </c>
      <c r="E447" s="62">
        <v>35820</v>
      </c>
      <c r="F447" s="61">
        <v>94086</v>
      </c>
      <c r="G447" s="61" t="s">
        <v>53</v>
      </c>
      <c r="H447" s="63" t="s">
        <v>54</v>
      </c>
      <c r="I447" s="64" t="s">
        <v>53</v>
      </c>
      <c r="J447" s="63" t="s">
        <v>56</v>
      </c>
      <c r="K447" s="65" t="s">
        <v>82</v>
      </c>
      <c r="L447" s="66">
        <v>781.79</v>
      </c>
      <c r="M447" s="67" t="s">
        <v>53</v>
      </c>
      <c r="N447" s="67" t="s">
        <v>59</v>
      </c>
      <c r="O447" s="67">
        <v>42.39</v>
      </c>
      <c r="P447" s="68"/>
      <c r="Q447" s="67"/>
      <c r="R447" s="67"/>
      <c r="S447" s="69" t="s">
        <v>61</v>
      </c>
      <c r="T447" s="69">
        <v>143000</v>
      </c>
      <c r="U447" s="69"/>
      <c r="V447" s="69" t="s">
        <v>62</v>
      </c>
      <c r="W447" s="69">
        <v>3948.36</v>
      </c>
      <c r="X447" s="69"/>
      <c r="Y447" s="69" t="s">
        <v>63</v>
      </c>
      <c r="Z447" s="69">
        <v>820</v>
      </c>
      <c r="AA447" s="69"/>
      <c r="AB447" s="70"/>
      <c r="AC447" s="69" t="s">
        <v>860</v>
      </c>
      <c r="AD447" s="69"/>
      <c r="AE447" s="71">
        <v>81691.5</v>
      </c>
      <c r="AF447" s="69"/>
      <c r="AG447" s="3" t="str">
        <f>B447&amp;C447</f>
        <v>SrinidhiSrinivasan</v>
      </c>
      <c r="AH447" s="3" t="e">
        <f>VLOOKUP($AG447,[1]Sheet8!$B:$G,1,0)</f>
        <v>#N/A</v>
      </c>
      <c r="AI447" s="3" t="e">
        <f>VLOOKUP($AG447,[1]Sheet8!$B:$G,4,0)</f>
        <v>#N/A</v>
      </c>
      <c r="AJ447" s="3" t="e">
        <f>VLOOKUP($AG447,[1]Sheet8!$B:$G,5,0)</f>
        <v>#N/A</v>
      </c>
      <c r="AK447" s="3" t="e">
        <f>VLOOKUP($AG447,[1]Sheet8!$B:$G,6,0)</f>
        <v>#N/A</v>
      </c>
      <c r="AL447" s="3" t="s">
        <v>53</v>
      </c>
      <c r="AM447" s="3" t="s">
        <v>82</v>
      </c>
      <c r="AN447" s="3">
        <v>781.79</v>
      </c>
      <c r="AO447" s="3" t="s">
        <v>53</v>
      </c>
      <c r="AP447" s="3" t="s">
        <v>59</v>
      </c>
      <c r="AQ447" s="3">
        <v>42.39</v>
      </c>
    </row>
    <row r="448" s="3" customFormat="1" ht="15" customHeight="1" spans="1:46">
      <c r="A448" s="60">
        <v>423</v>
      </c>
      <c r="B448" s="61" t="s">
        <v>861</v>
      </c>
      <c r="C448" s="61" t="s">
        <v>862</v>
      </c>
      <c r="D448" s="61" t="s">
        <v>67</v>
      </c>
      <c r="E448" s="62">
        <v>28928</v>
      </c>
      <c r="F448" s="61" t="s">
        <v>863</v>
      </c>
      <c r="G448" s="61" t="s">
        <v>53</v>
      </c>
      <c r="H448" s="63" t="s">
        <v>54</v>
      </c>
      <c r="I448" s="64" t="s">
        <v>58</v>
      </c>
      <c r="J448" s="63" t="s">
        <v>56</v>
      </c>
      <c r="K448" s="65" t="s">
        <v>57</v>
      </c>
      <c r="L448" s="66">
        <v>3831.06</v>
      </c>
      <c r="M448" s="67" t="s">
        <v>58</v>
      </c>
      <c r="N448" s="67" t="s">
        <v>59</v>
      </c>
      <c r="O448" s="67">
        <v>147.1</v>
      </c>
      <c r="P448" s="68" t="s">
        <v>58</v>
      </c>
      <c r="Q448" s="67" t="s">
        <v>60</v>
      </c>
      <c r="R448" s="67">
        <v>23</v>
      </c>
      <c r="S448" s="69" t="s">
        <v>61</v>
      </c>
      <c r="T448" s="69">
        <v>250000</v>
      </c>
      <c r="U448" s="69"/>
      <c r="V448" s="69" t="s">
        <v>62</v>
      </c>
      <c r="W448" s="69">
        <v>9343.13</v>
      </c>
      <c r="X448" s="69"/>
      <c r="Y448" s="69" t="s">
        <v>63</v>
      </c>
      <c r="Z448" s="69">
        <v>1940</v>
      </c>
      <c r="AA448" s="69"/>
      <c r="AB448" s="70"/>
      <c r="AC448" s="69" t="s">
        <v>864</v>
      </c>
      <c r="AD448" s="69"/>
      <c r="AE448" s="71">
        <v>172793</v>
      </c>
      <c r="AF448" s="69"/>
      <c r="AG448" s="3" t="str">
        <f>B448&amp;C448</f>
        <v>ReubenStaines</v>
      </c>
      <c r="AH448" s="3" t="str">
        <f>VLOOKUP($AG448,[1]Sheet8!$B:$G,1,0)</f>
        <v>REUBENSTAINES</v>
      </c>
      <c r="AI448" s="3" t="str">
        <f>VLOOKUP($AG448,[1]Sheet8!$B:$G,4,0)</f>
        <v>FAM</v>
      </c>
      <c r="AJ448" s="3" t="str">
        <f>VLOOKUP($AG448,[1]Sheet8!$B:$G,5,0)</f>
        <v>L093530003</v>
      </c>
      <c r="AK448" s="3">
        <f>VLOOKUP($AG448,[1]Sheet8!$B:$G,6,0)</f>
        <v>23</v>
      </c>
      <c r="AL448" s="3" t="s">
        <v>58</v>
      </c>
      <c r="AM448" s="3" t="s">
        <v>57</v>
      </c>
      <c r="AN448" s="3">
        <v>3831.06</v>
      </c>
      <c r="AO448" s="3" t="s">
        <v>58</v>
      </c>
      <c r="AP448" s="3" t="s">
        <v>59</v>
      </c>
      <c r="AQ448" s="3">
        <v>147.1</v>
      </c>
      <c r="AR448" s="3" t="s">
        <v>58</v>
      </c>
      <c r="AS448" s="3" t="s">
        <v>60</v>
      </c>
      <c r="AT448" s="3">
        <v>23</v>
      </c>
    </row>
    <row r="449" s="3" customFormat="1" ht="15" customHeight="1" spans="1:46">
      <c r="A449" s="60">
        <v>424</v>
      </c>
      <c r="B449" s="61" t="s">
        <v>865</v>
      </c>
      <c r="C449" s="61" t="s">
        <v>862</v>
      </c>
      <c r="D449" s="61" t="s">
        <v>52</v>
      </c>
      <c r="E449" s="62">
        <v>40163</v>
      </c>
      <c r="F449" s="61" t="s">
        <v>863</v>
      </c>
      <c r="G449" s="61" t="s">
        <v>68</v>
      </c>
      <c r="H449" s="63">
        <v>423</v>
      </c>
      <c r="I449" s="64" t="s">
        <v>58</v>
      </c>
      <c r="J449" s="63" t="s">
        <v>56</v>
      </c>
      <c r="K449" s="65"/>
      <c r="L449" s="66"/>
      <c r="M449" s="67"/>
      <c r="N449" s="67"/>
      <c r="O449" s="67"/>
      <c r="P449" s="68"/>
      <c r="Q449" s="67"/>
      <c r="R449" s="67"/>
      <c r="S449" s="69"/>
      <c r="T449" s="69"/>
      <c r="U449" s="69"/>
      <c r="V449" s="69"/>
      <c r="W449" s="69"/>
      <c r="X449" s="69"/>
      <c r="Y449" s="69"/>
      <c r="Z449" s="69"/>
      <c r="AA449" s="69"/>
      <c r="AB449" s="70"/>
      <c r="AC449" s="69"/>
      <c r="AD449" s="69"/>
      <c r="AE449" s="71"/>
      <c r="AF449" s="69"/>
    </row>
    <row r="450" s="3" customFormat="1" ht="15" customHeight="1" spans="1:46">
      <c r="A450" s="60">
        <v>425</v>
      </c>
      <c r="B450" s="61" t="s">
        <v>866</v>
      </c>
      <c r="C450" s="61" t="s">
        <v>862</v>
      </c>
      <c r="D450" s="61" t="s">
        <v>52</v>
      </c>
      <c r="E450" s="62">
        <v>39622</v>
      </c>
      <c r="F450" s="61" t="s">
        <v>863</v>
      </c>
      <c r="G450" s="61" t="s">
        <v>68</v>
      </c>
      <c r="H450" s="63">
        <v>423</v>
      </c>
      <c r="I450" s="64" t="s">
        <v>58</v>
      </c>
      <c r="J450" s="63" t="s">
        <v>56</v>
      </c>
      <c r="K450" s="65"/>
      <c r="L450" s="66"/>
      <c r="M450" s="67"/>
      <c r="N450" s="67"/>
      <c r="O450" s="67"/>
      <c r="P450" s="68"/>
      <c r="Q450" s="67"/>
      <c r="R450" s="67"/>
      <c r="S450" s="69"/>
      <c r="T450" s="69"/>
      <c r="U450" s="69"/>
      <c r="V450" s="69"/>
      <c r="W450" s="69"/>
      <c r="X450" s="69"/>
      <c r="Y450" s="69"/>
      <c r="Z450" s="69"/>
      <c r="AA450" s="69"/>
      <c r="AB450" s="70"/>
      <c r="AC450" s="69"/>
      <c r="AD450" s="69"/>
      <c r="AE450" s="71"/>
      <c r="AF450" s="69"/>
    </row>
    <row r="451" s="3" customFormat="1" ht="15" customHeight="1" spans="1:46">
      <c r="A451" s="60">
        <v>426</v>
      </c>
      <c r="B451" s="61" t="s">
        <v>867</v>
      </c>
      <c r="C451" s="61" t="s">
        <v>868</v>
      </c>
      <c r="D451" s="61" t="s">
        <v>52</v>
      </c>
      <c r="E451" s="62">
        <v>29269</v>
      </c>
      <c r="F451" s="61" t="s">
        <v>863</v>
      </c>
      <c r="G451" s="61" t="s">
        <v>85</v>
      </c>
      <c r="H451" s="63">
        <v>423</v>
      </c>
      <c r="I451" s="64" t="s">
        <v>58</v>
      </c>
      <c r="J451" s="63" t="s">
        <v>56</v>
      </c>
      <c r="K451" s="65"/>
      <c r="L451" s="66"/>
      <c r="M451" s="67"/>
      <c r="N451" s="67"/>
      <c r="O451" s="67"/>
      <c r="P451" s="68"/>
      <c r="Q451" s="67"/>
      <c r="R451" s="67"/>
      <c r="S451" s="69"/>
      <c r="T451" s="69"/>
      <c r="U451" s="69"/>
      <c r="V451" s="69"/>
      <c r="W451" s="69"/>
      <c r="X451" s="69"/>
      <c r="Y451" s="69"/>
      <c r="Z451" s="69"/>
      <c r="AA451" s="69"/>
      <c r="AB451" s="70"/>
      <c r="AC451" s="69"/>
      <c r="AD451" s="69"/>
      <c r="AE451" s="71"/>
      <c r="AF451" s="69"/>
    </row>
    <row r="452" s="3" customFormat="1" ht="15" customHeight="1" spans="1:46">
      <c r="A452" s="60">
        <v>427</v>
      </c>
      <c r="B452" s="61" t="s">
        <v>869</v>
      </c>
      <c r="C452" s="61" t="s">
        <v>870</v>
      </c>
      <c r="D452" s="61" t="s">
        <v>67</v>
      </c>
      <c r="E452" s="62">
        <v>22121</v>
      </c>
      <c r="F452" s="61">
        <v>94577</v>
      </c>
      <c r="G452" s="61" t="s">
        <v>53</v>
      </c>
      <c r="H452" s="63" t="s">
        <v>54</v>
      </c>
      <c r="I452" s="64" t="s">
        <v>81</v>
      </c>
      <c r="J452" s="63" t="s">
        <v>56</v>
      </c>
      <c r="K452" s="65" t="s">
        <v>57</v>
      </c>
      <c r="L452" s="66">
        <v>2718.81</v>
      </c>
      <c r="M452" s="67" t="s">
        <v>81</v>
      </c>
      <c r="N452" s="67" t="s">
        <v>59</v>
      </c>
      <c r="O452" s="67">
        <v>84.72</v>
      </c>
      <c r="P452" s="68" t="s">
        <v>81</v>
      </c>
      <c r="Q452" s="67" t="s">
        <v>60</v>
      </c>
      <c r="R452" s="67">
        <v>16.48</v>
      </c>
      <c r="S452" s="69" t="s">
        <v>61</v>
      </c>
      <c r="T452" s="69">
        <v>157950</v>
      </c>
      <c r="U452" s="69"/>
      <c r="V452" s="69" t="s">
        <v>62</v>
      </c>
      <c r="W452" s="69">
        <v>6735.45</v>
      </c>
      <c r="X452" s="69"/>
      <c r="Y452" s="69" t="s">
        <v>63</v>
      </c>
      <c r="Z452" s="69">
        <v>1399</v>
      </c>
      <c r="AA452" s="69"/>
      <c r="AB452" s="70"/>
      <c r="AC452" s="69" t="s">
        <v>779</v>
      </c>
      <c r="AD452" s="69"/>
      <c r="AE452" s="71">
        <v>123657</v>
      </c>
      <c r="AF452" s="69"/>
      <c r="AG452" s="3" t="str">
        <f>B452&amp;C452</f>
        <v>JozefStasiuk</v>
      </c>
      <c r="AH452" s="3" t="str">
        <f>VLOOKUP($AG452,[1]Sheet8!$B:$G,1,0)</f>
        <v>JOZEFSTASIUK</v>
      </c>
      <c r="AI452" s="3" t="str">
        <f>VLOOKUP($AG452,[1]Sheet8!$B:$G,4,0)</f>
        <v>ES</v>
      </c>
      <c r="AJ452" s="3" t="str">
        <f>VLOOKUP($AG452,[1]Sheet8!$B:$G,5,0)</f>
        <v>L093530003</v>
      </c>
      <c r="AK452" s="3">
        <f>VLOOKUP($AG452,[1]Sheet8!$B:$G,6,0)</f>
        <v>16.48</v>
      </c>
      <c r="AL452" s="3" t="s">
        <v>81</v>
      </c>
      <c r="AM452" s="3" t="s">
        <v>57</v>
      </c>
      <c r="AN452" s="3">
        <v>2718.81</v>
      </c>
      <c r="AO452" s="3" t="s">
        <v>81</v>
      </c>
      <c r="AP452" s="3" t="s">
        <v>59</v>
      </c>
      <c r="AQ452" s="3">
        <v>84.72</v>
      </c>
      <c r="AR452" s="3" t="s">
        <v>81</v>
      </c>
      <c r="AS452" s="3" t="s">
        <v>60</v>
      </c>
      <c r="AT452" s="3">
        <v>16.48</v>
      </c>
    </row>
    <row r="453" s="3" customFormat="1" ht="15" customHeight="1" spans="1:46">
      <c r="A453" s="60">
        <v>428</v>
      </c>
      <c r="B453" s="61" t="s">
        <v>871</v>
      </c>
      <c r="C453" s="61" t="s">
        <v>870</v>
      </c>
      <c r="D453" s="61" t="s">
        <v>52</v>
      </c>
      <c r="E453" s="62">
        <v>23464</v>
      </c>
      <c r="F453" s="61">
        <v>94577</v>
      </c>
      <c r="G453" s="61" t="s">
        <v>85</v>
      </c>
      <c r="H453" s="63">
        <v>427</v>
      </c>
      <c r="I453" s="64" t="s">
        <v>81</v>
      </c>
      <c r="J453" s="63" t="s">
        <v>56</v>
      </c>
      <c r="K453" s="65"/>
      <c r="L453" s="66"/>
      <c r="M453" s="67"/>
      <c r="N453" s="67"/>
      <c r="O453" s="67"/>
      <c r="P453" s="68"/>
      <c r="Q453" s="67"/>
      <c r="R453" s="67"/>
      <c r="S453" s="69"/>
      <c r="T453" s="69"/>
      <c r="U453" s="69"/>
      <c r="V453" s="69"/>
      <c r="W453" s="69"/>
      <c r="X453" s="69"/>
      <c r="Y453" s="69"/>
      <c r="Z453" s="69"/>
      <c r="AA453" s="69"/>
      <c r="AB453" s="70"/>
      <c r="AC453" s="69"/>
      <c r="AD453" s="69"/>
      <c r="AE453" s="71"/>
      <c r="AF453" s="69"/>
    </row>
    <row r="454" s="3" customFormat="1" ht="15" customHeight="1" spans="1:46">
      <c r="A454" s="60">
        <v>429</v>
      </c>
      <c r="B454" s="61" t="s">
        <v>358</v>
      </c>
      <c r="C454" s="61" t="s">
        <v>872</v>
      </c>
      <c r="D454" s="61" t="s">
        <v>52</v>
      </c>
      <c r="E454" s="62">
        <v>33742</v>
      </c>
      <c r="F454" s="61">
        <v>46038</v>
      </c>
      <c r="G454" s="61" t="s">
        <v>53</v>
      </c>
      <c r="H454" s="63" t="s">
        <v>54</v>
      </c>
      <c r="I454" s="64" t="s">
        <v>55</v>
      </c>
      <c r="J454" s="63" t="s">
        <v>56</v>
      </c>
      <c r="K454" s="65" t="s">
        <v>57</v>
      </c>
      <c r="L454" s="66">
        <v>2224.48</v>
      </c>
      <c r="M454" s="67" t="s">
        <v>81</v>
      </c>
      <c r="N454" s="67" t="s">
        <v>59</v>
      </c>
      <c r="O454" s="67">
        <v>84.72</v>
      </c>
      <c r="P454" s="68" t="s">
        <v>55</v>
      </c>
      <c r="Q454" s="67" t="s">
        <v>60</v>
      </c>
      <c r="R454" s="67">
        <v>13.95</v>
      </c>
      <c r="S454" s="69" t="s">
        <v>61</v>
      </c>
      <c r="T454" s="69">
        <v>163000</v>
      </c>
      <c r="U454" s="69"/>
      <c r="V454" s="69" t="s">
        <v>62</v>
      </c>
      <c r="W454" s="69">
        <v>4513.17</v>
      </c>
      <c r="X454" s="69"/>
      <c r="Y454" s="69" t="s">
        <v>63</v>
      </c>
      <c r="Z454" s="69">
        <v>937</v>
      </c>
      <c r="AA454" s="69"/>
      <c r="AB454" s="70"/>
      <c r="AC454" s="69" t="s">
        <v>873</v>
      </c>
      <c r="AD454" s="69"/>
      <c r="AE454" s="71">
        <v>83670</v>
      </c>
      <c r="AF454" s="69"/>
      <c r="AG454" s="3" t="str">
        <f>B454&amp;C454</f>
        <v>AmyStevens</v>
      </c>
      <c r="AH454" s="3" t="str">
        <f>VLOOKUP($AG454,[1]Sheet8!$B:$G,1,0)</f>
        <v>AMYSTEVENS</v>
      </c>
      <c r="AI454" s="3" t="str">
        <f>VLOOKUP($AG454,[1]Sheet8!$B:$G,4,0)</f>
        <v>EC</v>
      </c>
      <c r="AJ454" s="3" t="str">
        <f>VLOOKUP($AG454,[1]Sheet8!$B:$G,5,0)</f>
        <v>L093530003</v>
      </c>
      <c r="AK454" s="3">
        <f>VLOOKUP($AG454,[1]Sheet8!$B:$G,6,0)</f>
        <v>13.95</v>
      </c>
      <c r="AL454" s="3" t="s">
        <v>55</v>
      </c>
      <c r="AM454" s="3" t="s">
        <v>57</v>
      </c>
      <c r="AN454" s="3">
        <v>2224.48</v>
      </c>
      <c r="AO454" s="3" t="s">
        <v>81</v>
      </c>
      <c r="AP454" s="3" t="s">
        <v>59</v>
      </c>
      <c r="AQ454" s="3">
        <v>84.72</v>
      </c>
      <c r="AR454" s="3" t="s">
        <v>55</v>
      </c>
      <c r="AS454" s="3" t="s">
        <v>60</v>
      </c>
      <c r="AT454" s="3">
        <v>13.95</v>
      </c>
    </row>
    <row r="455" s="3" customFormat="1" ht="15" customHeight="1" spans="1:46">
      <c r="A455" s="60">
        <v>430</v>
      </c>
      <c r="B455" s="61" t="s">
        <v>874</v>
      </c>
      <c r="C455" s="61" t="s">
        <v>872</v>
      </c>
      <c r="D455" s="61" t="s">
        <v>67</v>
      </c>
      <c r="E455" s="62">
        <v>45504</v>
      </c>
      <c r="F455" s="61">
        <v>46038</v>
      </c>
      <c r="G455" s="61" t="s">
        <v>68</v>
      </c>
      <c r="H455" s="63">
        <v>429</v>
      </c>
      <c r="I455" s="64" t="s">
        <v>55</v>
      </c>
      <c r="J455" s="63" t="s">
        <v>56</v>
      </c>
      <c r="K455" s="65"/>
      <c r="L455" s="66"/>
      <c r="M455" s="67"/>
      <c r="N455" s="67"/>
      <c r="O455" s="67"/>
      <c r="P455" s="68"/>
      <c r="Q455" s="67"/>
      <c r="R455" s="67"/>
      <c r="S455" s="69"/>
      <c r="T455" s="69"/>
      <c r="U455" s="69"/>
      <c r="V455" s="69"/>
      <c r="W455" s="69"/>
      <c r="X455" s="69"/>
      <c r="Y455" s="69"/>
      <c r="Z455" s="69"/>
      <c r="AA455" s="69"/>
      <c r="AB455" s="70"/>
      <c r="AC455" s="69"/>
      <c r="AD455" s="69"/>
      <c r="AE455" s="71"/>
      <c r="AF455" s="69"/>
    </row>
    <row r="456" s="3" customFormat="1" ht="15" customHeight="1" spans="1:46">
      <c r="A456" s="60">
        <v>431</v>
      </c>
      <c r="B456" s="61" t="s">
        <v>385</v>
      </c>
      <c r="C456" s="61" t="s">
        <v>875</v>
      </c>
      <c r="D456" s="61" t="s">
        <v>67</v>
      </c>
      <c r="E456" s="62">
        <v>32871</v>
      </c>
      <c r="F456" s="61" t="s">
        <v>876</v>
      </c>
      <c r="G456" s="61" t="s">
        <v>53</v>
      </c>
      <c r="H456" s="63" t="s">
        <v>54</v>
      </c>
      <c r="I456" s="64" t="s">
        <v>53</v>
      </c>
      <c r="J456" s="63" t="s">
        <v>56</v>
      </c>
      <c r="K456" s="65" t="s">
        <v>57</v>
      </c>
      <c r="L456" s="66">
        <v>1235.83</v>
      </c>
      <c r="M456" s="67" t="s">
        <v>53</v>
      </c>
      <c r="N456" s="67" t="s">
        <v>59</v>
      </c>
      <c r="O456" s="67">
        <v>42.39</v>
      </c>
      <c r="P456" s="68" t="s">
        <v>53</v>
      </c>
      <c r="Q456" s="67" t="s">
        <v>60</v>
      </c>
      <c r="R456" s="67">
        <v>8.22</v>
      </c>
      <c r="S456" s="69" t="s">
        <v>61</v>
      </c>
      <c r="T456" s="69">
        <v>250000</v>
      </c>
      <c r="U456" s="69"/>
      <c r="V456" s="69" t="s">
        <v>62</v>
      </c>
      <c r="W456" s="69">
        <v>6941.74</v>
      </c>
      <c r="X456" s="69"/>
      <c r="Y456" s="69" t="s">
        <v>63</v>
      </c>
      <c r="Z456" s="69">
        <v>1442</v>
      </c>
      <c r="AA456" s="69"/>
      <c r="AB456" s="70"/>
      <c r="AC456" s="69" t="s">
        <v>98</v>
      </c>
      <c r="AD456" s="69"/>
      <c r="AE456" s="71">
        <v>128693</v>
      </c>
      <c r="AF456" s="69"/>
      <c r="AG456" s="3" t="str">
        <f>B456&amp;C456</f>
        <v>JoshuaStokes</v>
      </c>
      <c r="AH456" s="3" t="str">
        <f>VLOOKUP($AG456,[1]Sheet8!$B:$G,1,0)</f>
        <v>JOSHUASTOKES</v>
      </c>
      <c r="AI456" s="3" t="str">
        <f>VLOOKUP($AG456,[1]Sheet8!$B:$G,4,0)</f>
        <v>EE</v>
      </c>
      <c r="AJ456" s="3" t="str">
        <f>VLOOKUP($AG456,[1]Sheet8!$B:$G,5,0)</f>
        <v>L093530003</v>
      </c>
      <c r="AK456" s="3">
        <f>VLOOKUP($AG456,[1]Sheet8!$B:$G,6,0)</f>
        <v>8.22</v>
      </c>
      <c r="AL456" s="3" t="s">
        <v>53</v>
      </c>
      <c r="AM456" s="3" t="s">
        <v>57</v>
      </c>
      <c r="AN456" s="3">
        <v>1235.83</v>
      </c>
      <c r="AO456" s="3" t="s">
        <v>53</v>
      </c>
      <c r="AP456" s="3" t="s">
        <v>59</v>
      </c>
      <c r="AQ456" s="3">
        <v>42.39</v>
      </c>
      <c r="AR456" s="3" t="s">
        <v>53</v>
      </c>
      <c r="AS456" s="3" t="s">
        <v>60</v>
      </c>
      <c r="AT456" s="3">
        <v>8.22</v>
      </c>
    </row>
    <row r="457" s="3" customFormat="1" ht="15" customHeight="1" spans="1:46">
      <c r="A457" s="60">
        <v>432</v>
      </c>
      <c r="B457" s="61" t="s">
        <v>877</v>
      </c>
      <c r="C457" s="61" t="s">
        <v>878</v>
      </c>
      <c r="D457" s="61" t="s">
        <v>52</v>
      </c>
      <c r="E457" s="62">
        <v>30810</v>
      </c>
      <c r="F457" s="61">
        <v>11507</v>
      </c>
      <c r="G457" s="61" t="s">
        <v>53</v>
      </c>
      <c r="H457" s="63" t="s">
        <v>54</v>
      </c>
      <c r="I457" s="64" t="s">
        <v>58</v>
      </c>
      <c r="J457" s="63" t="s">
        <v>56</v>
      </c>
      <c r="K457" s="65" t="s">
        <v>57</v>
      </c>
      <c r="L457" s="66">
        <v>3831.06</v>
      </c>
      <c r="M457" s="67" t="s">
        <v>58</v>
      </c>
      <c r="N457" s="67" t="s">
        <v>59</v>
      </c>
      <c r="O457" s="67">
        <v>147.1</v>
      </c>
      <c r="P457" s="68" t="s">
        <v>58</v>
      </c>
      <c r="Q457" s="67" t="s">
        <v>60</v>
      </c>
      <c r="R457" s="67">
        <v>23</v>
      </c>
      <c r="S457" s="69" t="s">
        <v>61</v>
      </c>
      <c r="T457" s="69">
        <v>250000</v>
      </c>
      <c r="U457" s="69"/>
      <c r="V457" s="69" t="s">
        <v>62</v>
      </c>
      <c r="W457" s="69">
        <v>9491.47</v>
      </c>
      <c r="X457" s="69"/>
      <c r="Y457" s="69" t="s">
        <v>63</v>
      </c>
      <c r="Z457" s="69">
        <v>1971</v>
      </c>
      <c r="AA457" s="69"/>
      <c r="AB457" s="70"/>
      <c r="AC457" s="69" t="s">
        <v>879</v>
      </c>
      <c r="AD457" s="69"/>
      <c r="AE457" s="71">
        <v>174326</v>
      </c>
      <c r="AF457" s="69"/>
      <c r="AG457" s="3" t="str">
        <f>B457&amp;C457</f>
        <v>AlissaStollwerk</v>
      </c>
      <c r="AH457" s="3" t="str">
        <f>VLOOKUP($AG457,[1]Sheet8!$B:$G,1,0)</f>
        <v>ALISSASTOLLWERK</v>
      </c>
      <c r="AI457" s="3" t="str">
        <f>VLOOKUP($AG457,[1]Sheet8!$B:$G,4,0)</f>
        <v>FAM</v>
      </c>
      <c r="AJ457" s="3" t="str">
        <f>VLOOKUP($AG457,[1]Sheet8!$B:$G,5,0)</f>
        <v>L093530003</v>
      </c>
      <c r="AK457" s="3">
        <f>VLOOKUP($AG457,[1]Sheet8!$B:$G,6,0)</f>
        <v>23</v>
      </c>
      <c r="AL457" s="3" t="s">
        <v>58</v>
      </c>
      <c r="AM457" s="3" t="s">
        <v>57</v>
      </c>
      <c r="AN457" s="3">
        <v>3831.06</v>
      </c>
      <c r="AO457" s="3" t="s">
        <v>58</v>
      </c>
      <c r="AP457" s="3" t="s">
        <v>59</v>
      </c>
      <c r="AQ457" s="3">
        <v>147.1</v>
      </c>
      <c r="AR457" s="3" t="s">
        <v>58</v>
      </c>
      <c r="AS457" s="3" t="s">
        <v>60</v>
      </c>
      <c r="AT457" s="3">
        <v>23</v>
      </c>
    </row>
    <row r="458" s="3" customFormat="1" ht="15" customHeight="1" spans="1:46">
      <c r="A458" s="60">
        <v>433</v>
      </c>
      <c r="B458" s="61" t="s">
        <v>130</v>
      </c>
      <c r="C458" s="61" t="s">
        <v>878</v>
      </c>
      <c r="D458" s="61" t="s">
        <v>52</v>
      </c>
      <c r="E458" s="62">
        <v>42094</v>
      </c>
      <c r="F458" s="61">
        <v>11507</v>
      </c>
      <c r="G458" s="61" t="s">
        <v>68</v>
      </c>
      <c r="H458" s="63">
        <v>432</v>
      </c>
      <c r="I458" s="64" t="s">
        <v>58</v>
      </c>
      <c r="J458" s="63" t="s">
        <v>56</v>
      </c>
      <c r="K458" s="65"/>
      <c r="L458" s="66"/>
      <c r="M458" s="67"/>
      <c r="N458" s="67"/>
      <c r="O458" s="67"/>
      <c r="P458" s="68"/>
      <c r="Q458" s="67"/>
      <c r="R458" s="67"/>
      <c r="S458" s="69"/>
      <c r="T458" s="69"/>
      <c r="U458" s="69"/>
      <c r="V458" s="69"/>
      <c r="W458" s="69"/>
      <c r="X458" s="69"/>
      <c r="Y458" s="69"/>
      <c r="Z458" s="69"/>
      <c r="AA458" s="69"/>
      <c r="AB458" s="70"/>
      <c r="AC458" s="69"/>
      <c r="AD458" s="69"/>
      <c r="AE458" s="71"/>
      <c r="AF458" s="69"/>
    </row>
    <row r="459" s="3" customFormat="1" ht="15" customHeight="1" spans="1:46">
      <c r="A459" s="60">
        <v>434</v>
      </c>
      <c r="B459" s="61" t="s">
        <v>880</v>
      </c>
      <c r="C459" s="61" t="s">
        <v>878</v>
      </c>
      <c r="D459" s="61" t="s">
        <v>52</v>
      </c>
      <c r="E459" s="62">
        <v>42918</v>
      </c>
      <c r="F459" s="61">
        <v>11507</v>
      </c>
      <c r="G459" s="61" t="s">
        <v>68</v>
      </c>
      <c r="H459" s="63">
        <v>432</v>
      </c>
      <c r="I459" s="64" t="s">
        <v>58</v>
      </c>
      <c r="J459" s="63" t="s">
        <v>56</v>
      </c>
      <c r="K459" s="65"/>
      <c r="L459" s="66"/>
      <c r="M459" s="67"/>
      <c r="N459" s="67"/>
      <c r="O459" s="67"/>
      <c r="P459" s="68"/>
      <c r="Q459" s="67"/>
      <c r="R459" s="67"/>
      <c r="S459" s="69"/>
      <c r="T459" s="69"/>
      <c r="U459" s="69"/>
      <c r="V459" s="69"/>
      <c r="W459" s="69"/>
      <c r="X459" s="69"/>
      <c r="Y459" s="69"/>
      <c r="Z459" s="69"/>
      <c r="AA459" s="69"/>
      <c r="AB459" s="70"/>
      <c r="AC459" s="69"/>
      <c r="AD459" s="69"/>
      <c r="AE459" s="71"/>
      <c r="AF459" s="69"/>
    </row>
    <row r="460" s="3" customFormat="1" ht="15" customHeight="1" spans="1:46">
      <c r="A460" s="60">
        <v>435</v>
      </c>
      <c r="B460" s="61" t="s">
        <v>229</v>
      </c>
      <c r="C460" s="61" t="s">
        <v>881</v>
      </c>
      <c r="D460" s="61" t="s">
        <v>67</v>
      </c>
      <c r="E460" s="62">
        <v>30488</v>
      </c>
      <c r="F460" s="61">
        <v>11507</v>
      </c>
      <c r="G460" s="61" t="s">
        <v>85</v>
      </c>
      <c r="H460" s="63">
        <v>432</v>
      </c>
      <c r="I460" s="64" t="s">
        <v>58</v>
      </c>
      <c r="J460" s="63" t="s">
        <v>56</v>
      </c>
      <c r="K460" s="65"/>
      <c r="L460" s="66"/>
      <c r="M460" s="67"/>
      <c r="N460" s="67"/>
      <c r="O460" s="67"/>
      <c r="P460" s="68"/>
      <c r="Q460" s="67"/>
      <c r="R460" s="67"/>
      <c r="S460" s="69"/>
      <c r="T460" s="69"/>
      <c r="U460" s="69"/>
      <c r="V460" s="69"/>
      <c r="W460" s="69"/>
      <c r="X460" s="69"/>
      <c r="Y460" s="69"/>
      <c r="Z460" s="69"/>
      <c r="AA460" s="69"/>
      <c r="AB460" s="70"/>
      <c r="AC460" s="69"/>
      <c r="AD460" s="69"/>
      <c r="AE460" s="71"/>
      <c r="AF460" s="69"/>
    </row>
    <row r="461" s="3" customFormat="1" ht="15" customHeight="1" spans="1:46">
      <c r="A461" s="60">
        <v>436</v>
      </c>
      <c r="B461" s="61" t="s">
        <v>882</v>
      </c>
      <c r="C461" s="61" t="s">
        <v>883</v>
      </c>
      <c r="D461" s="61" t="s">
        <v>67</v>
      </c>
      <c r="E461" s="62">
        <v>35885</v>
      </c>
      <c r="F461" s="61">
        <v>63116</v>
      </c>
      <c r="G461" s="61" t="s">
        <v>53</v>
      </c>
      <c r="H461" s="63" t="s">
        <v>54</v>
      </c>
      <c r="I461" s="64" t="s">
        <v>53</v>
      </c>
      <c r="J461" s="63" t="s">
        <v>56</v>
      </c>
      <c r="K461" s="65" t="s">
        <v>57</v>
      </c>
      <c r="L461" s="66">
        <v>1235.83</v>
      </c>
      <c r="M461" s="67" t="s">
        <v>53</v>
      </c>
      <c r="N461" s="67" t="s">
        <v>59</v>
      </c>
      <c r="O461" s="67">
        <v>42.39</v>
      </c>
      <c r="P461" s="68"/>
      <c r="Q461" s="67"/>
      <c r="R461" s="67"/>
      <c r="S461" s="69" t="s">
        <v>61</v>
      </c>
      <c r="T461" s="69">
        <v>134000</v>
      </c>
      <c r="U461" s="69"/>
      <c r="V461" s="69" t="s">
        <v>62</v>
      </c>
      <c r="W461" s="69">
        <v>3705.19</v>
      </c>
      <c r="X461" s="69"/>
      <c r="Y461" s="69" t="s">
        <v>63</v>
      </c>
      <c r="Z461" s="69">
        <v>770</v>
      </c>
      <c r="AA461" s="69"/>
      <c r="AB461" s="70"/>
      <c r="AC461" s="69" t="s">
        <v>165</v>
      </c>
      <c r="AD461" s="69"/>
      <c r="AE461" s="71">
        <v>68691</v>
      </c>
      <c r="AF461" s="69"/>
      <c r="AG461" s="3" t="str">
        <f>B461&amp;C461</f>
        <v>ZackaryStovall</v>
      </c>
      <c r="AH461" s="3" t="e">
        <f>VLOOKUP($AG461,[1]Sheet8!$B:$G,1,0)</f>
        <v>#N/A</v>
      </c>
      <c r="AI461" s="3" t="e">
        <f>VLOOKUP($AG461,[1]Sheet8!$B:$G,4,0)</f>
        <v>#N/A</v>
      </c>
      <c r="AJ461" s="3" t="e">
        <f>VLOOKUP($AG461,[1]Sheet8!$B:$G,5,0)</f>
        <v>#N/A</v>
      </c>
      <c r="AK461" s="3" t="e">
        <f>VLOOKUP($AG461,[1]Sheet8!$B:$G,6,0)</f>
        <v>#N/A</v>
      </c>
      <c r="AL461" s="3" t="s">
        <v>53</v>
      </c>
      <c r="AM461" s="3" t="s">
        <v>57</v>
      </c>
      <c r="AN461" s="3">
        <v>1235.83</v>
      </c>
      <c r="AO461" s="3" t="s">
        <v>53</v>
      </c>
      <c r="AP461" s="3" t="s">
        <v>59</v>
      </c>
      <c r="AQ461" s="3">
        <v>42.39</v>
      </c>
    </row>
    <row r="462" s="3" customFormat="1" ht="15" customHeight="1" spans="1:46">
      <c r="A462" s="60">
        <v>437</v>
      </c>
      <c r="B462" s="61" t="s">
        <v>884</v>
      </c>
      <c r="C462" s="61" t="s">
        <v>885</v>
      </c>
      <c r="D462" s="61" t="s">
        <v>52</v>
      </c>
      <c r="E462" s="62">
        <v>36108</v>
      </c>
      <c r="F462" s="61">
        <v>11211</v>
      </c>
      <c r="G462" s="61" t="s">
        <v>53</v>
      </c>
      <c r="H462" s="63" t="s">
        <v>54</v>
      </c>
      <c r="I462" s="64" t="s">
        <v>53</v>
      </c>
      <c r="J462" s="63" t="s">
        <v>56</v>
      </c>
      <c r="K462" s="65" t="s">
        <v>82</v>
      </c>
      <c r="L462" s="66">
        <v>781.79</v>
      </c>
      <c r="M462" s="67" t="s">
        <v>53</v>
      </c>
      <c r="N462" s="67" t="s">
        <v>59</v>
      </c>
      <c r="O462" s="67">
        <v>42.39</v>
      </c>
      <c r="P462" s="68"/>
      <c r="Q462" s="67"/>
      <c r="R462" s="67"/>
      <c r="S462" s="69" t="s">
        <v>61</v>
      </c>
      <c r="T462" s="69">
        <v>172000</v>
      </c>
      <c r="U462" s="69"/>
      <c r="V462" s="69" t="s">
        <v>62</v>
      </c>
      <c r="W462" s="69">
        <v>4760.24</v>
      </c>
      <c r="X462" s="69"/>
      <c r="Y462" s="69" t="s">
        <v>63</v>
      </c>
      <c r="Z462" s="69">
        <v>989</v>
      </c>
      <c r="AA462" s="69"/>
      <c r="AB462" s="70"/>
      <c r="AC462" s="69" t="s">
        <v>615</v>
      </c>
      <c r="AD462" s="69"/>
      <c r="AE462" s="71">
        <v>88251</v>
      </c>
      <c r="AF462" s="69"/>
      <c r="AG462" s="3" t="str">
        <f>B462&amp;C462</f>
        <v>IsabelleStripling</v>
      </c>
      <c r="AH462" s="3" t="e">
        <f>VLOOKUP($AG462,[1]Sheet8!$B:$G,1,0)</f>
        <v>#N/A</v>
      </c>
      <c r="AI462" s="3" t="e">
        <f>VLOOKUP($AG462,[1]Sheet8!$B:$G,4,0)</f>
        <v>#N/A</v>
      </c>
      <c r="AJ462" s="3" t="e">
        <f>VLOOKUP($AG462,[1]Sheet8!$B:$G,5,0)</f>
        <v>#N/A</v>
      </c>
      <c r="AK462" s="3" t="e">
        <f>VLOOKUP($AG462,[1]Sheet8!$B:$G,6,0)</f>
        <v>#N/A</v>
      </c>
      <c r="AL462" s="3" t="s">
        <v>53</v>
      </c>
      <c r="AM462" s="3" t="s">
        <v>82</v>
      </c>
      <c r="AN462" s="3">
        <v>781.79</v>
      </c>
      <c r="AO462" s="3" t="s">
        <v>53</v>
      </c>
      <c r="AP462" s="3" t="s">
        <v>59</v>
      </c>
      <c r="AQ462" s="3">
        <v>42.39</v>
      </c>
    </row>
    <row r="463" s="3" customFormat="1" ht="15" customHeight="1" spans="1:46">
      <c r="A463" s="60">
        <v>438</v>
      </c>
      <c r="B463" s="61" t="s">
        <v>761</v>
      </c>
      <c r="C463" s="61" t="s">
        <v>886</v>
      </c>
      <c r="D463" s="61" t="s">
        <v>67</v>
      </c>
      <c r="E463" s="62">
        <v>29090</v>
      </c>
      <c r="F463" s="61">
        <v>20036</v>
      </c>
      <c r="G463" s="61" t="s">
        <v>53</v>
      </c>
      <c r="H463" s="63" t="s">
        <v>54</v>
      </c>
      <c r="I463" s="64" t="s">
        <v>53</v>
      </c>
      <c r="J463" s="63" t="s">
        <v>217</v>
      </c>
      <c r="K463" s="65" t="s">
        <v>57</v>
      </c>
      <c r="L463" s="66">
        <v>1235.83</v>
      </c>
      <c r="M463" s="67" t="s">
        <v>53</v>
      </c>
      <c r="N463" s="67" t="s">
        <v>59</v>
      </c>
      <c r="O463" s="67">
        <v>42.39</v>
      </c>
      <c r="P463" s="68" t="s">
        <v>53</v>
      </c>
      <c r="Q463" s="67" t="s">
        <v>60</v>
      </c>
      <c r="R463" s="67">
        <v>8.22</v>
      </c>
      <c r="S463" s="69"/>
      <c r="T463" s="69"/>
      <c r="U463" s="69"/>
      <c r="V463" s="69"/>
      <c r="W463" s="69"/>
      <c r="X463" s="69"/>
      <c r="Y463" s="69"/>
      <c r="Z463" s="69"/>
      <c r="AA463" s="69"/>
      <c r="AB463" s="70"/>
      <c r="AC463" s="69" t="s">
        <v>887</v>
      </c>
      <c r="AD463" s="69"/>
      <c r="AE463" s="71"/>
      <c r="AF463" s="69"/>
      <c r="AG463" s="3" t="str">
        <f>B463&amp;C463</f>
        <v>BrianStults</v>
      </c>
      <c r="AH463" s="3" t="str">
        <f>VLOOKUP($AG463,[1]Sheet8!$B:$G,1,0)</f>
        <v>BRIANSTULTS</v>
      </c>
      <c r="AI463" s="3" t="str">
        <f>VLOOKUP($AG463,[1]Sheet8!$B:$G,4,0)</f>
        <v>EE</v>
      </c>
      <c r="AJ463" s="3" t="str">
        <f>VLOOKUP($AG463,[1]Sheet8!$B:$G,5,0)</f>
        <v>L093530003</v>
      </c>
      <c r="AK463" s="3">
        <f>VLOOKUP($AG463,[1]Sheet8!$B:$G,6,0)</f>
        <v>8.22</v>
      </c>
      <c r="AL463" s="3" t="s">
        <v>53</v>
      </c>
      <c r="AM463" s="3" t="s">
        <v>57</v>
      </c>
      <c r="AN463" s="3">
        <v>1235.83</v>
      </c>
      <c r="AO463" s="3" t="s">
        <v>53</v>
      </c>
      <c r="AP463" s="3" t="s">
        <v>59</v>
      </c>
      <c r="AQ463" s="3">
        <v>42.39</v>
      </c>
      <c r="AR463" s="3" t="s">
        <v>53</v>
      </c>
      <c r="AS463" s="3" t="s">
        <v>60</v>
      </c>
      <c r="AT463" s="3">
        <v>8.22</v>
      </c>
    </row>
    <row r="464" s="3" customFormat="1" ht="15" customHeight="1" spans="1:46">
      <c r="A464" s="60">
        <v>439</v>
      </c>
      <c r="B464" s="61" t="s">
        <v>888</v>
      </c>
      <c r="C464" s="61" t="s">
        <v>889</v>
      </c>
      <c r="D464" s="61" t="s">
        <v>52</v>
      </c>
      <c r="E464" s="62">
        <v>33962</v>
      </c>
      <c r="F464" s="61">
        <v>97224</v>
      </c>
      <c r="G464" s="61" t="s">
        <v>53</v>
      </c>
      <c r="H464" s="63" t="s">
        <v>54</v>
      </c>
      <c r="I464" s="64" t="s">
        <v>119</v>
      </c>
      <c r="J464" s="63" t="s">
        <v>56</v>
      </c>
      <c r="K464" s="65"/>
      <c r="L464" s="66"/>
      <c r="M464" s="67"/>
      <c r="N464" s="67"/>
      <c r="O464" s="67"/>
      <c r="P464" s="68"/>
      <c r="Q464" s="67"/>
      <c r="R464" s="67"/>
      <c r="S464" s="69" t="s">
        <v>61</v>
      </c>
      <c r="T464" s="69">
        <v>149000</v>
      </c>
      <c r="U464" s="69"/>
      <c r="V464" s="69" t="s">
        <v>62</v>
      </c>
      <c r="W464" s="69">
        <v>4126.04</v>
      </c>
      <c r="X464" s="69"/>
      <c r="Y464" s="69" t="s">
        <v>63</v>
      </c>
      <c r="Z464" s="69">
        <v>857</v>
      </c>
      <c r="AA464" s="69"/>
      <c r="AB464" s="70"/>
      <c r="AC464" s="69" t="s">
        <v>106</v>
      </c>
      <c r="AD464" s="69"/>
      <c r="AE464" s="71">
        <v>76492</v>
      </c>
      <c r="AF464" s="69"/>
      <c r="AG464" s="3" t="str">
        <f>B464&amp;C464</f>
        <v>MuniaSunjid</v>
      </c>
      <c r="AH464" s="3" t="e">
        <f>VLOOKUP($AG464,[1]Sheet8!$B:$G,1,0)</f>
        <v>#N/A</v>
      </c>
      <c r="AI464" s="3" t="e">
        <f>VLOOKUP($AG464,[1]Sheet8!$B:$G,4,0)</f>
        <v>#N/A</v>
      </c>
      <c r="AJ464" s="3" t="e">
        <f>VLOOKUP($AG464,[1]Sheet8!$B:$G,5,0)</f>
        <v>#N/A</v>
      </c>
      <c r="AK464" s="3" t="e">
        <f>VLOOKUP($AG464,[1]Sheet8!$B:$G,6,0)</f>
        <v>#N/A</v>
      </c>
    </row>
    <row r="465" s="3" customFormat="1" ht="15" customHeight="1" spans="1:46">
      <c r="A465" s="60">
        <v>440</v>
      </c>
      <c r="B465" s="61" t="s">
        <v>65</v>
      </c>
      <c r="C465" s="61" t="s">
        <v>890</v>
      </c>
      <c r="D465" s="61" t="s">
        <v>67</v>
      </c>
      <c r="E465" s="62">
        <v>34355</v>
      </c>
      <c r="F465" s="61">
        <v>44720</v>
      </c>
      <c r="G465" s="61" t="s">
        <v>53</v>
      </c>
      <c r="H465" s="63" t="s">
        <v>54</v>
      </c>
      <c r="I465" s="64" t="s">
        <v>81</v>
      </c>
      <c r="J465" s="63" t="s">
        <v>56</v>
      </c>
      <c r="K465" s="65" t="s">
        <v>57</v>
      </c>
      <c r="L465" s="66">
        <v>2718.81</v>
      </c>
      <c r="M465" s="67" t="s">
        <v>81</v>
      </c>
      <c r="N465" s="67" t="s">
        <v>59</v>
      </c>
      <c r="O465" s="67">
        <v>84.72</v>
      </c>
      <c r="P465" s="68" t="s">
        <v>81</v>
      </c>
      <c r="Q465" s="67" t="s">
        <v>60</v>
      </c>
      <c r="R465" s="67">
        <v>16.48</v>
      </c>
      <c r="S465" s="69" t="s">
        <v>61</v>
      </c>
      <c r="T465" s="69">
        <v>200000</v>
      </c>
      <c r="U465" s="69"/>
      <c r="V465" s="69" t="s">
        <v>62</v>
      </c>
      <c r="W465" s="69">
        <v>5555.83</v>
      </c>
      <c r="X465" s="69"/>
      <c r="Y465" s="69" t="s">
        <v>63</v>
      </c>
      <c r="Z465" s="69">
        <v>1154</v>
      </c>
      <c r="AA465" s="69"/>
      <c r="AB465" s="70"/>
      <c r="AC465" s="69" t="s">
        <v>847</v>
      </c>
      <c r="AD465" s="69"/>
      <c r="AE465" s="71">
        <v>100000</v>
      </c>
      <c r="AF465" s="69"/>
      <c r="AG465" s="3" t="str">
        <f>B465&amp;C465</f>
        <v>AdamSwing</v>
      </c>
      <c r="AH465" s="3" t="str">
        <f>VLOOKUP($AG465,[1]Sheet8!$B:$G,1,0)</f>
        <v>ADAMSWING</v>
      </c>
      <c r="AI465" s="3" t="str">
        <f>VLOOKUP($AG465,[1]Sheet8!$B:$G,4,0)</f>
        <v>ES</v>
      </c>
      <c r="AJ465" s="3" t="str">
        <f>VLOOKUP($AG465,[1]Sheet8!$B:$G,5,0)</f>
        <v>L093530003</v>
      </c>
      <c r="AK465" s="3">
        <f>VLOOKUP($AG465,[1]Sheet8!$B:$G,6,0)</f>
        <v>16.48</v>
      </c>
      <c r="AL465" s="3" t="s">
        <v>81</v>
      </c>
      <c r="AM465" s="3" t="s">
        <v>57</v>
      </c>
      <c r="AN465" s="3">
        <v>2718.81</v>
      </c>
      <c r="AO465" s="3" t="s">
        <v>81</v>
      </c>
      <c r="AP465" s="3" t="s">
        <v>59</v>
      </c>
      <c r="AQ465" s="3">
        <v>84.72</v>
      </c>
      <c r="AR465" s="3" t="s">
        <v>81</v>
      </c>
      <c r="AS465" s="3" t="s">
        <v>60</v>
      </c>
      <c r="AT465" s="3">
        <v>16.48</v>
      </c>
    </row>
    <row r="466" s="3" customFormat="1" ht="15" customHeight="1" spans="1:46">
      <c r="A466" s="60">
        <v>441</v>
      </c>
      <c r="B466" s="61" t="s">
        <v>124</v>
      </c>
      <c r="C466" s="61" t="s">
        <v>890</v>
      </c>
      <c r="D466" s="61" t="s">
        <v>52</v>
      </c>
      <c r="E466" s="62">
        <v>34311</v>
      </c>
      <c r="F466" s="61">
        <v>44720</v>
      </c>
      <c r="G466" s="61" t="s">
        <v>85</v>
      </c>
      <c r="H466" s="63">
        <v>440</v>
      </c>
      <c r="I466" s="64" t="s">
        <v>81</v>
      </c>
      <c r="J466" s="63" t="s">
        <v>56</v>
      </c>
      <c r="K466" s="65"/>
      <c r="L466" s="66"/>
      <c r="M466" s="67"/>
      <c r="N466" s="67"/>
      <c r="O466" s="67"/>
      <c r="P466" s="68"/>
      <c r="Q466" s="67"/>
      <c r="R466" s="67"/>
      <c r="S466" s="69"/>
      <c r="T466" s="69"/>
      <c r="U466" s="69"/>
      <c r="V466" s="69"/>
      <c r="W466" s="69"/>
      <c r="X466" s="69"/>
      <c r="Y466" s="69"/>
      <c r="Z466" s="69"/>
      <c r="AA466" s="69"/>
      <c r="AB466" s="70"/>
      <c r="AC466" s="69"/>
      <c r="AD466" s="69"/>
      <c r="AE466" s="71"/>
      <c r="AF466" s="69"/>
    </row>
    <row r="467" s="3" customFormat="1" ht="15" customHeight="1" spans="1:46">
      <c r="A467" s="60">
        <v>442</v>
      </c>
      <c r="B467" s="61" t="s">
        <v>891</v>
      </c>
      <c r="C467" s="61" t="s">
        <v>892</v>
      </c>
      <c r="D467" s="61" t="s">
        <v>52</v>
      </c>
      <c r="E467" s="62">
        <v>33553</v>
      </c>
      <c r="F467" s="61">
        <v>43214</v>
      </c>
      <c r="G467" s="61" t="s">
        <v>53</v>
      </c>
      <c r="H467" s="63" t="s">
        <v>54</v>
      </c>
      <c r="I467" s="64" t="s">
        <v>53</v>
      </c>
      <c r="J467" s="63" t="s">
        <v>56</v>
      </c>
      <c r="K467" s="65" t="s">
        <v>57</v>
      </c>
      <c r="L467" s="66">
        <v>1235.83</v>
      </c>
      <c r="M467" s="67" t="s">
        <v>53</v>
      </c>
      <c r="N467" s="67" t="s">
        <v>59</v>
      </c>
      <c r="O467" s="67">
        <v>42.39</v>
      </c>
      <c r="P467" s="68" t="s">
        <v>53</v>
      </c>
      <c r="Q467" s="67" t="s">
        <v>60</v>
      </c>
      <c r="R467" s="67">
        <v>8.22</v>
      </c>
      <c r="S467" s="69" t="s">
        <v>61</v>
      </c>
      <c r="T467" s="69">
        <v>250000</v>
      </c>
      <c r="U467" s="69"/>
      <c r="V467" s="69" t="s">
        <v>62</v>
      </c>
      <c r="W467" s="69">
        <v>7180.91</v>
      </c>
      <c r="X467" s="69"/>
      <c r="Y467" s="69" t="s">
        <v>63</v>
      </c>
      <c r="Z467" s="69">
        <v>1491</v>
      </c>
      <c r="AA467" s="69"/>
      <c r="AB467" s="70"/>
      <c r="AC467" s="69" t="s">
        <v>98</v>
      </c>
      <c r="AD467" s="69"/>
      <c r="AE467" s="71">
        <v>133128</v>
      </c>
      <c r="AF467" s="69"/>
      <c r="AG467" s="3" t="str">
        <f>B467&amp;C467</f>
        <v>MeganSympson</v>
      </c>
      <c r="AH467" s="3" t="str">
        <f>VLOOKUP($AG467,[1]Sheet8!$B:$G,1,0)</f>
        <v>MEGANSYMPSON</v>
      </c>
      <c r="AI467" s="3" t="str">
        <f>VLOOKUP($AG467,[1]Sheet8!$B:$G,4,0)</f>
        <v>EE</v>
      </c>
      <c r="AJ467" s="3" t="str">
        <f>VLOOKUP($AG467,[1]Sheet8!$B:$G,5,0)</f>
        <v>L093530003</v>
      </c>
      <c r="AK467" s="3">
        <f>VLOOKUP($AG467,[1]Sheet8!$B:$G,6,0)</f>
        <v>8.22</v>
      </c>
      <c r="AL467" s="3" t="s">
        <v>53</v>
      </c>
      <c r="AM467" s="3" t="s">
        <v>57</v>
      </c>
      <c r="AN467" s="3">
        <v>1235.83</v>
      </c>
      <c r="AO467" s="3" t="s">
        <v>53</v>
      </c>
      <c r="AP467" s="3" t="s">
        <v>59</v>
      </c>
      <c r="AQ467" s="3">
        <v>42.39</v>
      </c>
      <c r="AR467" s="3" t="s">
        <v>53</v>
      </c>
      <c r="AS467" s="3" t="s">
        <v>60</v>
      </c>
      <c r="AT467" s="3">
        <v>8.22</v>
      </c>
    </row>
    <row r="468" s="3" customFormat="1" ht="15" customHeight="1" spans="1:46">
      <c r="A468" s="60">
        <v>443</v>
      </c>
      <c r="B468" s="61" t="s">
        <v>115</v>
      </c>
      <c r="C468" s="61" t="s">
        <v>893</v>
      </c>
      <c r="D468" s="61" t="s">
        <v>67</v>
      </c>
      <c r="E468" s="62">
        <v>36200</v>
      </c>
      <c r="F468" s="61">
        <v>93036</v>
      </c>
      <c r="G468" s="61" t="s">
        <v>53</v>
      </c>
      <c r="H468" s="63" t="s">
        <v>54</v>
      </c>
      <c r="I468" s="64" t="s">
        <v>53</v>
      </c>
      <c r="J468" s="63" t="s">
        <v>56</v>
      </c>
      <c r="K468" s="65" t="s">
        <v>57</v>
      </c>
      <c r="L468" s="66">
        <v>1235.83</v>
      </c>
      <c r="M468" s="67" t="s">
        <v>53</v>
      </c>
      <c r="N468" s="67" t="s">
        <v>59</v>
      </c>
      <c r="O468" s="67">
        <v>42.39</v>
      </c>
      <c r="P468" s="68" t="s">
        <v>53</v>
      </c>
      <c r="Q468" s="67" t="s">
        <v>60</v>
      </c>
      <c r="R468" s="67">
        <v>8.22</v>
      </c>
      <c r="S468" s="69" t="s">
        <v>61</v>
      </c>
      <c r="T468" s="69">
        <v>150000</v>
      </c>
      <c r="U468" s="69"/>
      <c r="V468" s="69" t="s">
        <v>62</v>
      </c>
      <c r="W468" s="69">
        <v>4166.88</v>
      </c>
      <c r="X468" s="69"/>
      <c r="Y468" s="69" t="s">
        <v>63</v>
      </c>
      <c r="Z468" s="69">
        <v>865</v>
      </c>
      <c r="AA468" s="69"/>
      <c r="AB468" s="70"/>
      <c r="AC468" s="69" t="s">
        <v>201</v>
      </c>
      <c r="AD468" s="69"/>
      <c r="AE468" s="71">
        <v>77625</v>
      </c>
      <c r="AF468" s="69"/>
      <c r="AG468" s="3" t="str">
        <f>B468&amp;C468</f>
        <v>OliverTate</v>
      </c>
      <c r="AH468" s="3" t="str">
        <f>VLOOKUP($AG468,[1]Sheet8!$B:$G,1,0)</f>
        <v>OLIVERTATE</v>
      </c>
      <c r="AI468" s="3" t="str">
        <f>VLOOKUP($AG468,[1]Sheet8!$B:$G,4,0)</f>
        <v>EE</v>
      </c>
      <c r="AJ468" s="3" t="str">
        <f>VLOOKUP($AG468,[1]Sheet8!$B:$G,5,0)</f>
        <v>L093530003</v>
      </c>
      <c r="AK468" s="3">
        <f>VLOOKUP($AG468,[1]Sheet8!$B:$G,6,0)</f>
        <v>8.22</v>
      </c>
      <c r="AL468" s="3" t="s">
        <v>53</v>
      </c>
      <c r="AM468" s="3" t="s">
        <v>57</v>
      </c>
      <c r="AN468" s="3">
        <v>1235.83</v>
      </c>
      <c r="AO468" s="3" t="s">
        <v>53</v>
      </c>
      <c r="AP468" s="3" t="s">
        <v>59</v>
      </c>
      <c r="AQ468" s="3">
        <v>42.39</v>
      </c>
      <c r="AR468" s="3" t="s">
        <v>53</v>
      </c>
      <c r="AS468" s="3" t="s">
        <v>60</v>
      </c>
      <c r="AT468" s="3">
        <v>8.22</v>
      </c>
    </row>
    <row r="469" s="3" customFormat="1" ht="15" customHeight="1" spans="1:46">
      <c r="A469" s="60">
        <v>444</v>
      </c>
      <c r="B469" s="61" t="s">
        <v>249</v>
      </c>
      <c r="C469" s="61" t="s">
        <v>894</v>
      </c>
      <c r="D469" s="61" t="s">
        <v>52</v>
      </c>
      <c r="E469" s="62">
        <v>30596</v>
      </c>
      <c r="F469" s="61">
        <v>97213</v>
      </c>
      <c r="G469" s="61" t="s">
        <v>53</v>
      </c>
      <c r="H469" s="63" t="s">
        <v>54</v>
      </c>
      <c r="I469" s="64" t="s">
        <v>58</v>
      </c>
      <c r="J469" s="63" t="s">
        <v>56</v>
      </c>
      <c r="K469" s="65" t="s">
        <v>82</v>
      </c>
      <c r="L469" s="66">
        <v>2423.56</v>
      </c>
      <c r="M469" s="67" t="s">
        <v>58</v>
      </c>
      <c r="N469" s="67" t="s">
        <v>59</v>
      </c>
      <c r="O469" s="67">
        <v>147.1</v>
      </c>
      <c r="P469" s="68" t="s">
        <v>58</v>
      </c>
      <c r="Q469" s="67" t="s">
        <v>60</v>
      </c>
      <c r="R469" s="67">
        <v>23</v>
      </c>
      <c r="S469" s="69" t="s">
        <v>61</v>
      </c>
      <c r="T469" s="69">
        <v>215000</v>
      </c>
      <c r="U469" s="69"/>
      <c r="V469" s="69" t="s">
        <v>62</v>
      </c>
      <c r="W469" s="69">
        <v>5962.69</v>
      </c>
      <c r="X469" s="69"/>
      <c r="Y469" s="69" t="s">
        <v>63</v>
      </c>
      <c r="Z469" s="69">
        <v>1238</v>
      </c>
      <c r="AA469" s="69"/>
      <c r="AB469" s="70"/>
      <c r="AC469" s="69" t="s">
        <v>335</v>
      </c>
      <c r="AD469" s="69"/>
      <c r="AE469" s="71">
        <v>110543</v>
      </c>
      <c r="AF469" s="69"/>
      <c r="AG469" s="3" t="str">
        <f>B469&amp;C469</f>
        <v>LauraTempleton</v>
      </c>
      <c r="AH469" s="3" t="str">
        <f>VLOOKUP($AG469,[1]Sheet8!$B:$G,1,0)</f>
        <v>LAURATEMPLETON</v>
      </c>
      <c r="AI469" s="3" t="str">
        <f>VLOOKUP($AG469,[1]Sheet8!$B:$G,4,0)</f>
        <v>FAM</v>
      </c>
      <c r="AJ469" s="3" t="str">
        <f>VLOOKUP($AG469,[1]Sheet8!$B:$G,5,0)</f>
        <v>L093530003</v>
      </c>
      <c r="AK469" s="3">
        <f>VLOOKUP($AG469,[1]Sheet8!$B:$G,6,0)</f>
        <v>23</v>
      </c>
      <c r="AL469" s="3" t="s">
        <v>58</v>
      </c>
      <c r="AM469" s="3" t="s">
        <v>82</v>
      </c>
      <c r="AN469" s="3">
        <v>2423.56</v>
      </c>
      <c r="AO469" s="3" t="s">
        <v>58</v>
      </c>
      <c r="AP469" s="3" t="s">
        <v>59</v>
      </c>
      <c r="AQ469" s="3">
        <v>147.1</v>
      </c>
      <c r="AR469" s="3" t="s">
        <v>58</v>
      </c>
      <c r="AS469" s="3" t="s">
        <v>60</v>
      </c>
      <c r="AT469" s="3">
        <v>23</v>
      </c>
    </row>
    <row r="470" s="3" customFormat="1" ht="15" customHeight="1" spans="1:46">
      <c r="A470" s="60">
        <v>445</v>
      </c>
      <c r="B470" s="61" t="s">
        <v>895</v>
      </c>
      <c r="C470" s="61" t="s">
        <v>896</v>
      </c>
      <c r="D470" s="61" t="s">
        <v>52</v>
      </c>
      <c r="E470" s="62">
        <v>43408</v>
      </c>
      <c r="F470" s="61">
        <v>97213</v>
      </c>
      <c r="G470" s="61" t="s">
        <v>68</v>
      </c>
      <c r="H470" s="63">
        <v>444</v>
      </c>
      <c r="I470" s="64" t="s">
        <v>58</v>
      </c>
      <c r="J470" s="63" t="s">
        <v>56</v>
      </c>
      <c r="K470" s="65"/>
      <c r="L470" s="66"/>
      <c r="M470" s="67"/>
      <c r="N470" s="67"/>
      <c r="O470" s="67"/>
      <c r="P470" s="68"/>
      <c r="Q470" s="67"/>
      <c r="R470" s="67"/>
      <c r="S470" s="69"/>
      <c r="T470" s="69"/>
      <c r="U470" s="69"/>
      <c r="V470" s="69"/>
      <c r="W470" s="69"/>
      <c r="X470" s="69"/>
      <c r="Y470" s="69"/>
      <c r="Z470" s="69"/>
      <c r="AA470" s="69"/>
      <c r="AB470" s="70"/>
      <c r="AC470" s="69"/>
      <c r="AD470" s="69"/>
      <c r="AE470" s="71"/>
      <c r="AF470" s="69"/>
    </row>
    <row r="471" s="3" customFormat="1" ht="15" customHeight="1" spans="1:46">
      <c r="A471" s="60">
        <v>446</v>
      </c>
      <c r="B471" s="61" t="s">
        <v>897</v>
      </c>
      <c r="C471" s="61" t="s">
        <v>896</v>
      </c>
      <c r="D471" s="61" t="s">
        <v>67</v>
      </c>
      <c r="E471" s="62">
        <v>31792</v>
      </c>
      <c r="F471" s="61">
        <v>97213</v>
      </c>
      <c r="G471" s="61" t="s">
        <v>85</v>
      </c>
      <c r="H471" s="63">
        <v>444</v>
      </c>
      <c r="I471" s="64" t="s">
        <v>58</v>
      </c>
      <c r="J471" s="63" t="s">
        <v>56</v>
      </c>
      <c r="K471" s="65"/>
      <c r="L471" s="66"/>
      <c r="M471" s="67"/>
      <c r="N471" s="67"/>
      <c r="O471" s="67"/>
      <c r="P471" s="68"/>
      <c r="Q471" s="67"/>
      <c r="R471" s="67"/>
      <c r="S471" s="69"/>
      <c r="T471" s="69"/>
      <c r="U471" s="69"/>
      <c r="V471" s="69"/>
      <c r="W471" s="69"/>
      <c r="X471" s="69"/>
      <c r="Y471" s="69"/>
      <c r="Z471" s="69"/>
      <c r="AA471" s="69"/>
      <c r="AB471" s="70"/>
      <c r="AC471" s="69"/>
      <c r="AD471" s="69"/>
      <c r="AE471" s="71"/>
      <c r="AF471" s="69"/>
    </row>
    <row r="472" s="3" customFormat="1" ht="15" customHeight="1" spans="1:46">
      <c r="A472" s="60">
        <v>447</v>
      </c>
      <c r="B472" s="61" t="s">
        <v>898</v>
      </c>
      <c r="C472" s="61" t="s">
        <v>899</v>
      </c>
      <c r="D472" s="61" t="s">
        <v>52</v>
      </c>
      <c r="E472" s="62">
        <v>36291</v>
      </c>
      <c r="F472" s="61">
        <v>90041</v>
      </c>
      <c r="G472" s="61" t="s">
        <v>53</v>
      </c>
      <c r="H472" s="63" t="s">
        <v>54</v>
      </c>
      <c r="I472" s="64" t="s">
        <v>53</v>
      </c>
      <c r="J472" s="63" t="s">
        <v>56</v>
      </c>
      <c r="K472" s="65" t="s">
        <v>57</v>
      </c>
      <c r="L472" s="66">
        <v>1235.83</v>
      </c>
      <c r="M472" s="67" t="s">
        <v>53</v>
      </c>
      <c r="N472" s="67" t="s">
        <v>59</v>
      </c>
      <c r="O472" s="67">
        <v>42.39</v>
      </c>
      <c r="P472" s="68" t="s">
        <v>53</v>
      </c>
      <c r="Q472" s="67" t="s">
        <v>60</v>
      </c>
      <c r="R472" s="67">
        <v>8.22</v>
      </c>
      <c r="S472" s="69" t="s">
        <v>61</v>
      </c>
      <c r="T472" s="69">
        <v>211000</v>
      </c>
      <c r="U472" s="69"/>
      <c r="V472" s="69" t="s">
        <v>62</v>
      </c>
      <c r="W472" s="69">
        <v>5844.74</v>
      </c>
      <c r="X472" s="69"/>
      <c r="Y472" s="69" t="s">
        <v>63</v>
      </c>
      <c r="Z472" s="69">
        <v>1214</v>
      </c>
      <c r="AA472" s="69"/>
      <c r="AB472" s="70"/>
      <c r="AC472" s="69" t="s">
        <v>64</v>
      </c>
      <c r="AD472" s="69"/>
      <c r="AE472" s="71">
        <v>109407</v>
      </c>
      <c r="AF472" s="69"/>
      <c r="AG472" s="3" t="str">
        <f>B472&amp;C472</f>
        <v>BethanyThompson</v>
      </c>
      <c r="AH472" s="3" t="str">
        <f>VLOOKUP($AG472,[1]Sheet8!$B:$G,1,0)</f>
        <v>BETHANYTHOMPSON</v>
      </c>
      <c r="AI472" s="3" t="str">
        <f>VLOOKUP($AG472,[1]Sheet8!$B:$G,4,0)</f>
        <v>EE</v>
      </c>
      <c r="AJ472" s="3" t="str">
        <f>VLOOKUP($AG472,[1]Sheet8!$B:$G,5,0)</f>
        <v>L093530003</v>
      </c>
      <c r="AK472" s="3">
        <f>VLOOKUP($AG472,[1]Sheet8!$B:$G,6,0)</f>
        <v>8.22</v>
      </c>
      <c r="AL472" s="3" t="s">
        <v>53</v>
      </c>
      <c r="AM472" s="3" t="s">
        <v>57</v>
      </c>
      <c r="AN472" s="3">
        <v>1235.83</v>
      </c>
      <c r="AO472" s="3" t="s">
        <v>53</v>
      </c>
      <c r="AP472" s="3" t="s">
        <v>59</v>
      </c>
      <c r="AQ472" s="3">
        <v>42.39</v>
      </c>
      <c r="AR472" s="3" t="s">
        <v>53</v>
      </c>
      <c r="AS472" s="3" t="s">
        <v>60</v>
      </c>
      <c r="AT472" s="3">
        <v>8.22</v>
      </c>
    </row>
    <row r="473" s="3" customFormat="1" ht="15" customHeight="1" spans="1:46">
      <c r="A473" s="60">
        <v>448</v>
      </c>
      <c r="B473" s="61" t="s">
        <v>900</v>
      </c>
      <c r="C473" s="61" t="s">
        <v>899</v>
      </c>
      <c r="D473" s="61" t="s">
        <v>52</v>
      </c>
      <c r="E473" s="62">
        <v>36657</v>
      </c>
      <c r="F473" s="61">
        <v>92880</v>
      </c>
      <c r="G473" s="61" t="s">
        <v>53</v>
      </c>
      <c r="H473" s="63" t="s">
        <v>54</v>
      </c>
      <c r="I473" s="64" t="s">
        <v>53</v>
      </c>
      <c r="J473" s="63" t="s">
        <v>56</v>
      </c>
      <c r="K473" s="65" t="s">
        <v>82</v>
      </c>
      <c r="L473" s="66">
        <v>781.79</v>
      </c>
      <c r="M473" s="67" t="s">
        <v>53</v>
      </c>
      <c r="N473" s="67" t="s">
        <v>59</v>
      </c>
      <c r="O473" s="67">
        <v>42.39</v>
      </c>
      <c r="P473" s="68" t="s">
        <v>53</v>
      </c>
      <c r="Q473" s="67" t="s">
        <v>60</v>
      </c>
      <c r="R473" s="67">
        <v>8.22</v>
      </c>
      <c r="S473" s="69" t="s">
        <v>61</v>
      </c>
      <c r="T473" s="69">
        <v>138000</v>
      </c>
      <c r="U473" s="69"/>
      <c r="V473" s="69" t="s">
        <v>62</v>
      </c>
      <c r="W473" s="69">
        <v>3807.97</v>
      </c>
      <c r="X473" s="69"/>
      <c r="Y473" s="69" t="s">
        <v>63</v>
      </c>
      <c r="Z473" s="69">
        <v>791</v>
      </c>
      <c r="AA473" s="69"/>
      <c r="AB473" s="70"/>
      <c r="AC473" s="69" t="s">
        <v>138</v>
      </c>
      <c r="AD473" s="69"/>
      <c r="AE473" s="71">
        <v>68640</v>
      </c>
      <c r="AF473" s="69"/>
      <c r="AG473" s="3" t="str">
        <f>B473&amp;C473</f>
        <v>SydneyThompson</v>
      </c>
      <c r="AH473" s="3" t="str">
        <f>VLOOKUP($AG473,[1]Sheet8!$B:$G,1,0)</f>
        <v>SYDNEYTHOMPSON</v>
      </c>
      <c r="AI473" s="3" t="str">
        <f>VLOOKUP($AG473,[1]Sheet8!$B:$G,4,0)</f>
        <v>EE</v>
      </c>
      <c r="AJ473" s="3" t="str">
        <f>VLOOKUP($AG473,[1]Sheet8!$B:$G,5,0)</f>
        <v>L093530003</v>
      </c>
      <c r="AK473" s="3">
        <f>VLOOKUP($AG473,[1]Sheet8!$B:$G,6,0)</f>
        <v>8.22</v>
      </c>
      <c r="AL473" s="3" t="s">
        <v>53</v>
      </c>
      <c r="AM473" s="3" t="s">
        <v>82</v>
      </c>
      <c r="AN473" s="3">
        <v>781.79</v>
      </c>
      <c r="AO473" s="3" t="s">
        <v>53</v>
      </c>
      <c r="AP473" s="3" t="s">
        <v>59</v>
      </c>
      <c r="AQ473" s="3">
        <v>42.39</v>
      </c>
      <c r="AR473" s="3" t="s">
        <v>53</v>
      </c>
      <c r="AS473" s="3" t="s">
        <v>60</v>
      </c>
      <c r="AT473" s="3">
        <v>8.22</v>
      </c>
    </row>
    <row r="474" s="3" customFormat="1" ht="15" customHeight="1" spans="1:46">
      <c r="A474" s="60">
        <v>449</v>
      </c>
      <c r="B474" s="61" t="s">
        <v>901</v>
      </c>
      <c r="C474" s="61" t="s">
        <v>902</v>
      </c>
      <c r="D474" s="61" t="s">
        <v>52</v>
      </c>
      <c r="E474" s="62">
        <v>27911</v>
      </c>
      <c r="F474" s="61">
        <v>98045</v>
      </c>
      <c r="G474" s="61" t="s">
        <v>53</v>
      </c>
      <c r="H474" s="63" t="s">
        <v>54</v>
      </c>
      <c r="I474" s="64" t="s">
        <v>55</v>
      </c>
      <c r="J474" s="63" t="s">
        <v>56</v>
      </c>
      <c r="K474" s="65" t="s">
        <v>57</v>
      </c>
      <c r="L474" s="66">
        <v>2224.48</v>
      </c>
      <c r="M474" s="67" t="s">
        <v>81</v>
      </c>
      <c r="N474" s="67" t="s">
        <v>59</v>
      </c>
      <c r="O474" s="67">
        <v>84.72</v>
      </c>
      <c r="P474" s="68" t="s">
        <v>55</v>
      </c>
      <c r="Q474" s="67" t="s">
        <v>60</v>
      </c>
      <c r="R474" s="67">
        <v>13.95</v>
      </c>
      <c r="S474" s="69" t="s">
        <v>61</v>
      </c>
      <c r="T474" s="69">
        <v>250000</v>
      </c>
      <c r="U474" s="69"/>
      <c r="V474" s="69" t="s">
        <v>62</v>
      </c>
      <c r="W474" s="69">
        <v>7767.89</v>
      </c>
      <c r="X474" s="69"/>
      <c r="Y474" s="69" t="s">
        <v>63</v>
      </c>
      <c r="Z474" s="69">
        <v>1613</v>
      </c>
      <c r="AA474" s="69"/>
      <c r="AB474" s="70"/>
      <c r="AC474" s="69" t="s">
        <v>95</v>
      </c>
      <c r="AD474" s="69"/>
      <c r="AE474" s="71">
        <v>144009</v>
      </c>
      <c r="AF474" s="69"/>
      <c r="AG474" s="3" t="str">
        <f>B474&amp;C474</f>
        <v>JanetThorpe</v>
      </c>
      <c r="AH474" s="3" t="str">
        <f>VLOOKUP($AG474,[1]Sheet8!$B:$G,1,0)</f>
        <v>JANETTHORPE</v>
      </c>
      <c r="AI474" s="3" t="str">
        <f>VLOOKUP($AG474,[1]Sheet8!$B:$G,4,0)</f>
        <v>EC</v>
      </c>
      <c r="AJ474" s="3" t="str">
        <f>VLOOKUP($AG474,[1]Sheet8!$B:$G,5,0)</f>
        <v>L093530003</v>
      </c>
      <c r="AK474" s="3">
        <f>VLOOKUP($AG474,[1]Sheet8!$B:$G,6,0)</f>
        <v>13.95</v>
      </c>
      <c r="AL474" s="3" t="s">
        <v>55</v>
      </c>
      <c r="AM474" s="3" t="s">
        <v>57</v>
      </c>
      <c r="AN474" s="3">
        <v>2224.48</v>
      </c>
      <c r="AO474" s="3" t="s">
        <v>81</v>
      </c>
      <c r="AP474" s="3" t="s">
        <v>59</v>
      </c>
      <c r="AQ474" s="3">
        <v>84.72</v>
      </c>
      <c r="AR474" s="3" t="s">
        <v>55</v>
      </c>
      <c r="AS474" s="3" t="s">
        <v>60</v>
      </c>
      <c r="AT474" s="3">
        <v>13.95</v>
      </c>
    </row>
    <row r="475" s="3" customFormat="1" ht="15" customHeight="1" spans="1:46">
      <c r="A475" s="60">
        <v>450</v>
      </c>
      <c r="B475" s="61" t="s">
        <v>903</v>
      </c>
      <c r="C475" s="61" t="s">
        <v>902</v>
      </c>
      <c r="D475" s="61" t="s">
        <v>52</v>
      </c>
      <c r="E475" s="62">
        <v>40832</v>
      </c>
      <c r="F475" s="61">
        <v>98045</v>
      </c>
      <c r="G475" s="61" t="s">
        <v>68</v>
      </c>
      <c r="H475" s="63">
        <v>449</v>
      </c>
      <c r="I475" s="64" t="s">
        <v>55</v>
      </c>
      <c r="J475" s="63" t="s">
        <v>56</v>
      </c>
      <c r="K475" s="65"/>
      <c r="L475" s="66"/>
      <c r="M475" s="67"/>
      <c r="N475" s="67"/>
      <c r="O475" s="67"/>
      <c r="P475" s="68"/>
      <c r="Q475" s="67"/>
      <c r="R475" s="67"/>
      <c r="S475" s="69"/>
      <c r="T475" s="69"/>
      <c r="U475" s="69"/>
      <c r="V475" s="69"/>
      <c r="W475" s="69"/>
      <c r="X475" s="69"/>
      <c r="Y475" s="69"/>
      <c r="Z475" s="69"/>
      <c r="AA475" s="69"/>
      <c r="AB475" s="70"/>
      <c r="AC475" s="69"/>
      <c r="AD475" s="69"/>
      <c r="AE475" s="71"/>
      <c r="AF475" s="69"/>
    </row>
    <row r="476" s="3" customFormat="1" ht="15" customHeight="1" spans="1:46">
      <c r="A476" s="60">
        <v>451</v>
      </c>
      <c r="B476" s="61" t="s">
        <v>533</v>
      </c>
      <c r="C476" s="61" t="s">
        <v>904</v>
      </c>
      <c r="D476" s="61" t="s">
        <v>67</v>
      </c>
      <c r="E476" s="62">
        <v>35757</v>
      </c>
      <c r="F476" s="61">
        <v>55987</v>
      </c>
      <c r="G476" s="61" t="s">
        <v>53</v>
      </c>
      <c r="H476" s="63" t="s">
        <v>54</v>
      </c>
      <c r="I476" s="64" t="s">
        <v>53</v>
      </c>
      <c r="J476" s="63" t="s">
        <v>56</v>
      </c>
      <c r="K476" s="65" t="s">
        <v>82</v>
      </c>
      <c r="L476" s="66">
        <v>781.79</v>
      </c>
      <c r="M476" s="67" t="s">
        <v>53</v>
      </c>
      <c r="N476" s="67" t="s">
        <v>59</v>
      </c>
      <c r="O476" s="67">
        <v>42.39</v>
      </c>
      <c r="P476" s="68" t="s">
        <v>53</v>
      </c>
      <c r="Q476" s="67" t="s">
        <v>60</v>
      </c>
      <c r="R476" s="67">
        <v>8.22</v>
      </c>
      <c r="S476" s="69" t="s">
        <v>61</v>
      </c>
      <c r="T476" s="69">
        <v>172000</v>
      </c>
      <c r="U476" s="69"/>
      <c r="V476" s="69" t="s">
        <v>62</v>
      </c>
      <c r="W476" s="69">
        <v>4750.35</v>
      </c>
      <c r="X476" s="69"/>
      <c r="Y476" s="69" t="s">
        <v>63</v>
      </c>
      <c r="Z476" s="69">
        <v>987</v>
      </c>
      <c r="AA476" s="69"/>
      <c r="AB476" s="70"/>
      <c r="AC476" s="69" t="s">
        <v>615</v>
      </c>
      <c r="AD476" s="69"/>
      <c r="AE476" s="71">
        <v>88067</v>
      </c>
      <c r="AF476" s="69"/>
      <c r="AG476" s="3" t="str">
        <f>B476&amp;C476</f>
        <v>DylanTimm</v>
      </c>
      <c r="AH476" s="3" t="str">
        <f>VLOOKUP($AG476,[1]Sheet8!$B:$G,1,0)</f>
        <v>DYLANTIMM</v>
      </c>
      <c r="AI476" s="3" t="str">
        <f>VLOOKUP($AG476,[1]Sheet8!$B:$G,4,0)</f>
        <v>EE</v>
      </c>
      <c r="AJ476" s="3" t="str">
        <f>VLOOKUP($AG476,[1]Sheet8!$B:$G,5,0)</f>
        <v>L093530003</v>
      </c>
      <c r="AK476" s="3">
        <f>VLOOKUP($AG476,[1]Sheet8!$B:$G,6,0)</f>
        <v>8.22</v>
      </c>
      <c r="AL476" s="3" t="s">
        <v>53</v>
      </c>
      <c r="AM476" s="3" t="s">
        <v>82</v>
      </c>
      <c r="AN476" s="3">
        <v>781.79</v>
      </c>
      <c r="AO476" s="3" t="s">
        <v>53</v>
      </c>
      <c r="AP476" s="3" t="s">
        <v>59</v>
      </c>
      <c r="AQ476" s="3">
        <v>42.39</v>
      </c>
      <c r="AR476" s="3" t="s">
        <v>53</v>
      </c>
      <c r="AS476" s="3" t="s">
        <v>60</v>
      </c>
      <c r="AT476" s="3">
        <v>8.22</v>
      </c>
    </row>
    <row r="477" s="3" customFormat="1" ht="15" customHeight="1" spans="1:46">
      <c r="A477" s="60">
        <v>452</v>
      </c>
      <c r="B477" s="61" t="s">
        <v>252</v>
      </c>
      <c r="C477" s="61" t="s">
        <v>905</v>
      </c>
      <c r="D477" s="61" t="s">
        <v>67</v>
      </c>
      <c r="E477" s="62">
        <v>36635</v>
      </c>
      <c r="F477" s="61">
        <v>11207</v>
      </c>
      <c r="G477" s="61" t="s">
        <v>53</v>
      </c>
      <c r="H477" s="63" t="s">
        <v>54</v>
      </c>
      <c r="I477" s="64" t="s">
        <v>53</v>
      </c>
      <c r="J477" s="63" t="s">
        <v>56</v>
      </c>
      <c r="K477" s="65" t="s">
        <v>57</v>
      </c>
      <c r="L477" s="66">
        <v>1235.83</v>
      </c>
      <c r="M477" s="67" t="s">
        <v>53</v>
      </c>
      <c r="N477" s="67" t="s">
        <v>59</v>
      </c>
      <c r="O477" s="67">
        <v>42.39</v>
      </c>
      <c r="P477" s="68" t="s">
        <v>53</v>
      </c>
      <c r="Q477" s="67" t="s">
        <v>60</v>
      </c>
      <c r="R477" s="67">
        <v>8.22</v>
      </c>
      <c r="S477" s="69" t="s">
        <v>61</v>
      </c>
      <c r="T477" s="69">
        <v>200000</v>
      </c>
      <c r="U477" s="69"/>
      <c r="V477" s="69" t="s">
        <v>62</v>
      </c>
      <c r="W477" s="69">
        <v>5555.83</v>
      </c>
      <c r="X477" s="69"/>
      <c r="Y477" s="69" t="s">
        <v>63</v>
      </c>
      <c r="Z477" s="69">
        <v>1154</v>
      </c>
      <c r="AA477" s="69"/>
      <c r="AB477" s="70"/>
      <c r="AC477" s="69" t="s">
        <v>615</v>
      </c>
      <c r="AD477" s="69"/>
      <c r="AE477" s="71">
        <v>101000</v>
      </c>
      <c r="AF477" s="69"/>
      <c r="AG477" s="3" t="str">
        <f>B477&amp;C477</f>
        <v>ConnorTolany</v>
      </c>
      <c r="AH477" s="3" t="str">
        <f>VLOOKUP($AG477,[1]Sheet8!$B:$G,1,0)</f>
        <v>CONNORTOLANY</v>
      </c>
      <c r="AI477" s="3" t="str">
        <f>VLOOKUP($AG477,[1]Sheet8!$B:$G,4,0)</f>
        <v>EE</v>
      </c>
      <c r="AJ477" s="3" t="str">
        <f>VLOOKUP($AG477,[1]Sheet8!$B:$G,5,0)</f>
        <v>L093530003</v>
      </c>
      <c r="AK477" s="3">
        <f>VLOOKUP($AG477,[1]Sheet8!$B:$G,6,0)</f>
        <v>8.22</v>
      </c>
      <c r="AL477" s="3" t="s">
        <v>53</v>
      </c>
      <c r="AM477" s="3" t="s">
        <v>57</v>
      </c>
      <c r="AN477" s="3">
        <v>1235.83</v>
      </c>
      <c r="AO477" s="3" t="s">
        <v>53</v>
      </c>
      <c r="AP477" s="3" t="s">
        <v>59</v>
      </c>
      <c r="AQ477" s="3">
        <v>42.39</v>
      </c>
      <c r="AR477" s="3" t="s">
        <v>53</v>
      </c>
      <c r="AS477" s="3" t="s">
        <v>60</v>
      </c>
      <c r="AT477" s="3">
        <v>8.22</v>
      </c>
    </row>
    <row r="478" s="3" customFormat="1" ht="15" customHeight="1" spans="1:46">
      <c r="A478" s="60">
        <v>453</v>
      </c>
      <c r="B478" s="61" t="s">
        <v>333</v>
      </c>
      <c r="C478" s="61" t="s">
        <v>906</v>
      </c>
      <c r="D478" s="61" t="s">
        <v>67</v>
      </c>
      <c r="E478" s="62">
        <v>27854</v>
      </c>
      <c r="F478" s="61">
        <v>55616</v>
      </c>
      <c r="G478" s="61" t="s">
        <v>53</v>
      </c>
      <c r="H478" s="63" t="s">
        <v>54</v>
      </c>
      <c r="I478" s="64" t="s">
        <v>81</v>
      </c>
      <c r="J478" s="63" t="s">
        <v>56</v>
      </c>
      <c r="K478" s="65" t="s">
        <v>57</v>
      </c>
      <c r="L478" s="66">
        <v>2718.81</v>
      </c>
      <c r="M478" s="67" t="s">
        <v>81</v>
      </c>
      <c r="N478" s="67" t="s">
        <v>59</v>
      </c>
      <c r="O478" s="67">
        <v>84.72</v>
      </c>
      <c r="P478" s="68" t="s">
        <v>81</v>
      </c>
      <c r="Q478" s="67" t="s">
        <v>60</v>
      </c>
      <c r="R478" s="67">
        <v>16.48</v>
      </c>
      <c r="S478" s="69" t="s">
        <v>61</v>
      </c>
      <c r="T478" s="69">
        <v>245000</v>
      </c>
      <c r="U478" s="69"/>
      <c r="V478" s="69" t="s">
        <v>62</v>
      </c>
      <c r="W478" s="69">
        <v>6781.67</v>
      </c>
      <c r="X478" s="69"/>
      <c r="Y478" s="69" t="s">
        <v>63</v>
      </c>
      <c r="Z478" s="69">
        <v>1408</v>
      </c>
      <c r="AA478" s="69"/>
      <c r="AB478" s="70"/>
      <c r="AC478" s="69" t="s">
        <v>907</v>
      </c>
      <c r="AD478" s="69"/>
      <c r="AE478" s="71">
        <v>123895</v>
      </c>
      <c r="AF478" s="69"/>
      <c r="AG478" s="3" t="str">
        <f>B478&amp;C478</f>
        <v>GeoffreyTolley</v>
      </c>
      <c r="AH478" s="3" t="str">
        <f>VLOOKUP($AG478,[1]Sheet8!$B:$G,1,0)</f>
        <v>GEOFFREYTOLLEY</v>
      </c>
      <c r="AI478" s="3" t="str">
        <f>VLOOKUP($AG478,[1]Sheet8!$B:$G,4,0)</f>
        <v>ES</v>
      </c>
      <c r="AJ478" s="3" t="str">
        <f>VLOOKUP($AG478,[1]Sheet8!$B:$G,5,0)</f>
        <v>L093530003</v>
      </c>
      <c r="AK478" s="3">
        <f>VLOOKUP($AG478,[1]Sheet8!$B:$G,6,0)</f>
        <v>16.48</v>
      </c>
      <c r="AL478" s="3" t="s">
        <v>81</v>
      </c>
      <c r="AM478" s="3" t="s">
        <v>57</v>
      </c>
      <c r="AN478" s="3">
        <v>2718.81</v>
      </c>
      <c r="AO478" s="3" t="s">
        <v>81</v>
      </c>
      <c r="AP478" s="3" t="s">
        <v>59</v>
      </c>
      <c r="AQ478" s="3">
        <v>84.72</v>
      </c>
      <c r="AR478" s="3" t="s">
        <v>81</v>
      </c>
      <c r="AS478" s="3" t="s">
        <v>60</v>
      </c>
      <c r="AT478" s="3">
        <v>16.48</v>
      </c>
    </row>
    <row r="479" s="3" customFormat="1" ht="15" customHeight="1" spans="1:46">
      <c r="A479" s="60">
        <v>454</v>
      </c>
      <c r="B479" s="61" t="s">
        <v>222</v>
      </c>
      <c r="C479" s="61" t="s">
        <v>908</v>
      </c>
      <c r="D479" s="61" t="s">
        <v>52</v>
      </c>
      <c r="E479" s="62">
        <v>26133</v>
      </c>
      <c r="F479" s="61">
        <v>55616</v>
      </c>
      <c r="G479" s="61" t="s">
        <v>85</v>
      </c>
      <c r="H479" s="63">
        <v>453</v>
      </c>
      <c r="I479" s="64" t="s">
        <v>81</v>
      </c>
      <c r="J479" s="63" t="s">
        <v>56</v>
      </c>
      <c r="K479" s="65"/>
      <c r="L479" s="66"/>
      <c r="M479" s="67"/>
      <c r="N479" s="67"/>
      <c r="O479" s="67"/>
      <c r="P479" s="68"/>
      <c r="Q479" s="67"/>
      <c r="R479" s="67"/>
      <c r="S479" s="69"/>
      <c r="T479" s="69"/>
      <c r="U479" s="69"/>
      <c r="V479" s="69"/>
      <c r="W479" s="69"/>
      <c r="X479" s="69"/>
      <c r="Y479" s="69"/>
      <c r="Z479" s="69"/>
      <c r="AA479" s="69"/>
      <c r="AB479" s="70"/>
      <c r="AC479" s="69"/>
      <c r="AD479" s="69"/>
      <c r="AE479" s="71"/>
      <c r="AF479" s="69"/>
    </row>
    <row r="480" s="3" customFormat="1" ht="15" customHeight="1" spans="1:46">
      <c r="A480" s="60">
        <v>455</v>
      </c>
      <c r="B480" s="61" t="s">
        <v>471</v>
      </c>
      <c r="C480" s="61" t="s">
        <v>909</v>
      </c>
      <c r="D480" s="61" t="s">
        <v>67</v>
      </c>
      <c r="E480" s="62">
        <v>35627</v>
      </c>
      <c r="F480" s="61">
        <v>37204</v>
      </c>
      <c r="G480" s="61" t="s">
        <v>53</v>
      </c>
      <c r="H480" s="63" t="s">
        <v>54</v>
      </c>
      <c r="I480" s="64" t="s">
        <v>81</v>
      </c>
      <c r="J480" s="63" t="s">
        <v>56</v>
      </c>
      <c r="K480" s="65" t="s">
        <v>82</v>
      </c>
      <c r="L480" s="66">
        <v>1719.95</v>
      </c>
      <c r="M480" s="67" t="s">
        <v>81</v>
      </c>
      <c r="N480" s="67" t="s">
        <v>59</v>
      </c>
      <c r="O480" s="67">
        <v>84.72</v>
      </c>
      <c r="P480" s="68" t="s">
        <v>81</v>
      </c>
      <c r="Q480" s="67" t="s">
        <v>60</v>
      </c>
      <c r="R480" s="67">
        <v>16.48</v>
      </c>
      <c r="S480" s="69" t="s">
        <v>61</v>
      </c>
      <c r="T480" s="69">
        <v>190000</v>
      </c>
      <c r="U480" s="69"/>
      <c r="V480" s="69" t="s">
        <v>62</v>
      </c>
      <c r="W480" s="69">
        <v>5278.04</v>
      </c>
      <c r="X480" s="69"/>
      <c r="Y480" s="69" t="s">
        <v>63</v>
      </c>
      <c r="Z480" s="69">
        <v>1096</v>
      </c>
      <c r="AA480" s="69"/>
      <c r="AB480" s="70"/>
      <c r="AC480" s="69" t="s">
        <v>144</v>
      </c>
      <c r="AD480" s="69"/>
      <c r="AE480" s="71">
        <v>95000</v>
      </c>
      <c r="AF480" s="69"/>
      <c r="AG480" s="3" t="str">
        <f>B480&amp;C480</f>
        <v>AlexanderTripp</v>
      </c>
      <c r="AH480" s="3" t="str">
        <f>VLOOKUP($AG480,[1]Sheet8!$B:$G,1,0)</f>
        <v>ALEXANDERTRIPP</v>
      </c>
      <c r="AI480" s="3" t="str">
        <f>VLOOKUP($AG480,[1]Sheet8!$B:$G,4,0)</f>
        <v>ES</v>
      </c>
      <c r="AJ480" s="3" t="str">
        <f>VLOOKUP($AG480,[1]Sheet8!$B:$G,5,0)</f>
        <v>L093530003</v>
      </c>
      <c r="AK480" s="3">
        <f>VLOOKUP($AG480,[1]Sheet8!$B:$G,6,0)</f>
        <v>16.48</v>
      </c>
      <c r="AL480" s="3" t="s">
        <v>81</v>
      </c>
      <c r="AM480" s="3" t="s">
        <v>82</v>
      </c>
      <c r="AN480" s="3">
        <v>1719.95</v>
      </c>
      <c r="AO480" s="3" t="s">
        <v>81</v>
      </c>
      <c r="AP480" s="3" t="s">
        <v>59</v>
      </c>
      <c r="AQ480" s="3">
        <v>84.72</v>
      </c>
      <c r="AR480" s="3" t="s">
        <v>81</v>
      </c>
      <c r="AS480" s="3" t="s">
        <v>60</v>
      </c>
      <c r="AT480" s="3">
        <v>16.48</v>
      </c>
    </row>
    <row r="481" s="3" customFormat="1" ht="15" customHeight="1" spans="1:46">
      <c r="A481" s="60">
        <v>456</v>
      </c>
      <c r="B481" s="61" t="s">
        <v>910</v>
      </c>
      <c r="C481" s="61" t="s">
        <v>909</v>
      </c>
      <c r="D481" s="61" t="s">
        <v>52</v>
      </c>
      <c r="E481" s="62">
        <v>35865</v>
      </c>
      <c r="F481" s="61">
        <v>37204</v>
      </c>
      <c r="G481" s="61" t="s">
        <v>85</v>
      </c>
      <c r="H481" s="63">
        <v>455</v>
      </c>
      <c r="I481" s="64" t="s">
        <v>81</v>
      </c>
      <c r="J481" s="63" t="s">
        <v>56</v>
      </c>
      <c r="K481" s="65"/>
      <c r="L481" s="66"/>
      <c r="M481" s="67"/>
      <c r="N481" s="67"/>
      <c r="O481" s="67"/>
      <c r="P481" s="68"/>
      <c r="Q481" s="67"/>
      <c r="R481" s="67"/>
      <c r="S481" s="69"/>
      <c r="T481" s="69"/>
      <c r="U481" s="69"/>
      <c r="V481" s="69"/>
      <c r="W481" s="69"/>
      <c r="X481" s="69"/>
      <c r="Y481" s="69"/>
      <c r="Z481" s="69"/>
      <c r="AA481" s="69"/>
      <c r="AB481" s="70"/>
      <c r="AC481" s="69"/>
      <c r="AD481" s="69"/>
      <c r="AE481" s="71"/>
      <c r="AF481" s="69"/>
    </row>
    <row r="482" s="3" customFormat="1" ht="15" customHeight="1" spans="1:46">
      <c r="A482" s="60">
        <v>457</v>
      </c>
      <c r="B482" s="61" t="s">
        <v>215</v>
      </c>
      <c r="C482" s="61" t="s">
        <v>911</v>
      </c>
      <c r="D482" s="61" t="s">
        <v>67</v>
      </c>
      <c r="E482" s="62">
        <v>26905</v>
      </c>
      <c r="F482" s="61">
        <v>60540</v>
      </c>
      <c r="G482" s="61" t="s">
        <v>53</v>
      </c>
      <c r="H482" s="63" t="s">
        <v>54</v>
      </c>
      <c r="I482" s="64" t="s">
        <v>81</v>
      </c>
      <c r="J482" s="63" t="s">
        <v>56</v>
      </c>
      <c r="K482" s="65" t="s">
        <v>57</v>
      </c>
      <c r="L482" s="66">
        <v>2718.81</v>
      </c>
      <c r="M482" s="67" t="s">
        <v>81</v>
      </c>
      <c r="N482" s="67" t="s">
        <v>59</v>
      </c>
      <c r="O482" s="67">
        <v>84.72</v>
      </c>
      <c r="P482" s="68" t="s">
        <v>81</v>
      </c>
      <c r="Q482" s="67" t="s">
        <v>60</v>
      </c>
      <c r="R482" s="67">
        <v>16.48</v>
      </c>
      <c r="S482" s="69" t="s">
        <v>61</v>
      </c>
      <c r="T482" s="69">
        <v>250000</v>
      </c>
      <c r="U482" s="69"/>
      <c r="V482" s="69" t="s">
        <v>62</v>
      </c>
      <c r="W482" s="69">
        <v>10000</v>
      </c>
      <c r="X482" s="69"/>
      <c r="Y482" s="69" t="s">
        <v>63</v>
      </c>
      <c r="Z482" s="69">
        <v>2000</v>
      </c>
      <c r="AA482" s="69"/>
      <c r="AB482" s="70"/>
      <c r="AC482" s="69" t="s">
        <v>912</v>
      </c>
      <c r="AD482" s="69"/>
      <c r="AE482" s="71">
        <v>207641</v>
      </c>
      <c r="AF482" s="69"/>
      <c r="AG482" s="3" t="str">
        <f>B482&amp;C482</f>
        <v>DavidTrollope</v>
      </c>
      <c r="AH482" s="3" t="str">
        <f>VLOOKUP($AG482,[1]Sheet8!$B:$G,1,0)</f>
        <v>DAVIDTROLLOPE</v>
      </c>
      <c r="AI482" s="3" t="str">
        <f>VLOOKUP($AG482,[1]Sheet8!$B:$G,4,0)</f>
        <v>ES</v>
      </c>
      <c r="AJ482" s="3" t="str">
        <f>VLOOKUP($AG482,[1]Sheet8!$B:$G,5,0)</f>
        <v>L093530003</v>
      </c>
      <c r="AK482" s="3">
        <f>VLOOKUP($AG482,[1]Sheet8!$B:$G,6,0)</f>
        <v>16.48</v>
      </c>
      <c r="AL482" s="3" t="s">
        <v>81</v>
      </c>
      <c r="AM482" s="3" t="s">
        <v>57</v>
      </c>
      <c r="AN482" s="3">
        <v>2718.81</v>
      </c>
      <c r="AO482" s="3" t="s">
        <v>81</v>
      </c>
      <c r="AP482" s="3" t="s">
        <v>59</v>
      </c>
      <c r="AQ482" s="3">
        <v>84.72</v>
      </c>
      <c r="AR482" s="3" t="s">
        <v>81</v>
      </c>
      <c r="AS482" s="3" t="s">
        <v>60</v>
      </c>
      <c r="AT482" s="3">
        <v>16.48</v>
      </c>
    </row>
    <row r="483" s="3" customFormat="1" ht="15" customHeight="1" spans="1:46">
      <c r="A483" s="60">
        <v>458</v>
      </c>
      <c r="B483" s="61" t="s">
        <v>913</v>
      </c>
      <c r="C483" s="61" t="s">
        <v>914</v>
      </c>
      <c r="D483" s="61" t="s">
        <v>52</v>
      </c>
      <c r="E483" s="62">
        <v>22761</v>
      </c>
      <c r="F483" s="61">
        <v>60540</v>
      </c>
      <c r="G483" s="61" t="s">
        <v>85</v>
      </c>
      <c r="H483" s="63">
        <v>457</v>
      </c>
      <c r="I483" s="64" t="s">
        <v>81</v>
      </c>
      <c r="J483" s="63" t="s">
        <v>56</v>
      </c>
      <c r="K483" s="65"/>
      <c r="L483" s="66"/>
      <c r="M483" s="67"/>
      <c r="N483" s="67"/>
      <c r="O483" s="67"/>
      <c r="P483" s="68"/>
      <c r="Q483" s="67"/>
      <c r="R483" s="67"/>
      <c r="S483" s="69"/>
      <c r="T483" s="69"/>
      <c r="U483" s="69"/>
      <c r="V483" s="69"/>
      <c r="W483" s="69"/>
      <c r="X483" s="69"/>
      <c r="Y483" s="69"/>
      <c r="Z483" s="69"/>
      <c r="AA483" s="69"/>
      <c r="AB483" s="70"/>
      <c r="AC483" s="69"/>
      <c r="AD483" s="69"/>
      <c r="AE483" s="71"/>
      <c r="AF483" s="69"/>
    </row>
    <row r="484" s="3" customFormat="1" ht="15" customHeight="1" spans="1:46">
      <c r="A484" s="60">
        <v>459</v>
      </c>
      <c r="B484" s="61" t="s">
        <v>915</v>
      </c>
      <c r="C484" s="61" t="s">
        <v>916</v>
      </c>
      <c r="D484" s="61" t="s">
        <v>52</v>
      </c>
      <c r="E484" s="62">
        <v>29604</v>
      </c>
      <c r="F484" s="61">
        <v>14052</v>
      </c>
      <c r="G484" s="61" t="s">
        <v>53</v>
      </c>
      <c r="H484" s="63" t="s">
        <v>54</v>
      </c>
      <c r="I484" s="64" t="s">
        <v>58</v>
      </c>
      <c r="J484" s="63" t="s">
        <v>56</v>
      </c>
      <c r="K484" s="65" t="s">
        <v>82</v>
      </c>
      <c r="L484" s="66">
        <v>2423.56</v>
      </c>
      <c r="M484" s="67" t="s">
        <v>58</v>
      </c>
      <c r="N484" s="67" t="s">
        <v>59</v>
      </c>
      <c r="O484" s="67">
        <v>147.1</v>
      </c>
      <c r="P484" s="68" t="s">
        <v>58</v>
      </c>
      <c r="Q484" s="67" t="s">
        <v>60</v>
      </c>
      <c r="R484" s="67">
        <v>23</v>
      </c>
      <c r="S484" s="69" t="s">
        <v>61</v>
      </c>
      <c r="T484" s="69">
        <v>250000</v>
      </c>
      <c r="U484" s="69"/>
      <c r="V484" s="69" t="s">
        <v>62</v>
      </c>
      <c r="W484" s="69">
        <v>10000</v>
      </c>
      <c r="X484" s="69"/>
      <c r="Y484" s="69" t="s">
        <v>63</v>
      </c>
      <c r="Z484" s="69">
        <v>2000</v>
      </c>
      <c r="AA484" s="69"/>
      <c r="AB484" s="70"/>
      <c r="AC484" s="69" t="s">
        <v>917</v>
      </c>
      <c r="AD484" s="69"/>
      <c r="AE484" s="71">
        <v>225000</v>
      </c>
      <c r="AF484" s="69"/>
      <c r="AG484" s="3" t="str">
        <f>B484&amp;C484</f>
        <v>SharonTurlington</v>
      </c>
      <c r="AH484" s="3" t="str">
        <f>VLOOKUP($AG484,[1]Sheet8!$B:$G,1,0)</f>
        <v>SHARONTURLINGTON</v>
      </c>
      <c r="AI484" s="3" t="str">
        <f>VLOOKUP($AG484,[1]Sheet8!$B:$G,4,0)</f>
        <v>FAM</v>
      </c>
      <c r="AJ484" s="3" t="str">
        <f>VLOOKUP($AG484,[1]Sheet8!$B:$G,5,0)</f>
        <v>L093530003</v>
      </c>
      <c r="AK484" s="3">
        <f>VLOOKUP($AG484,[1]Sheet8!$B:$G,6,0)</f>
        <v>23</v>
      </c>
      <c r="AL484" s="3" t="s">
        <v>58</v>
      </c>
      <c r="AM484" s="3" t="s">
        <v>82</v>
      </c>
      <c r="AN484" s="3">
        <v>2423.56</v>
      </c>
      <c r="AO484" s="3" t="s">
        <v>58</v>
      </c>
      <c r="AP484" s="3" t="s">
        <v>59</v>
      </c>
      <c r="AQ484" s="3">
        <v>147.1</v>
      </c>
      <c r="AR484" s="3" t="s">
        <v>58</v>
      </c>
      <c r="AS484" s="3" t="s">
        <v>60</v>
      </c>
      <c r="AT484" s="3">
        <v>23</v>
      </c>
    </row>
    <row r="485" s="3" customFormat="1" ht="15" customHeight="1" spans="1:46">
      <c r="A485" s="60">
        <v>460</v>
      </c>
      <c r="B485" s="61" t="s">
        <v>918</v>
      </c>
      <c r="C485" s="61" t="s">
        <v>916</v>
      </c>
      <c r="D485" s="61" t="s">
        <v>67</v>
      </c>
      <c r="E485" s="62">
        <v>41293</v>
      </c>
      <c r="F485" s="61">
        <v>14052</v>
      </c>
      <c r="G485" s="61" t="s">
        <v>68</v>
      </c>
      <c r="H485" s="63">
        <v>459</v>
      </c>
      <c r="I485" s="64" t="s">
        <v>58</v>
      </c>
      <c r="J485" s="63" t="s">
        <v>56</v>
      </c>
      <c r="K485" s="65"/>
      <c r="L485" s="66"/>
      <c r="M485" s="67"/>
      <c r="N485" s="67"/>
      <c r="O485" s="67"/>
      <c r="P485" s="68"/>
      <c r="Q485" s="67"/>
      <c r="R485" s="67"/>
      <c r="S485" s="69"/>
      <c r="T485" s="69"/>
      <c r="U485" s="69"/>
      <c r="V485" s="69"/>
      <c r="W485" s="69"/>
      <c r="X485" s="69"/>
      <c r="Y485" s="69"/>
      <c r="Z485" s="69"/>
      <c r="AA485" s="69"/>
      <c r="AB485" s="70"/>
      <c r="AC485" s="69"/>
      <c r="AD485" s="69"/>
      <c r="AE485" s="71"/>
      <c r="AF485" s="69"/>
    </row>
    <row r="486" s="3" customFormat="1" ht="15" customHeight="1" spans="1:46">
      <c r="A486" s="60">
        <v>461</v>
      </c>
      <c r="B486" s="61" t="s">
        <v>114</v>
      </c>
      <c r="C486" s="61" t="s">
        <v>916</v>
      </c>
      <c r="D486" s="61" t="s">
        <v>52</v>
      </c>
      <c r="E486" s="62">
        <v>39675</v>
      </c>
      <c r="F486" s="61">
        <v>14052</v>
      </c>
      <c r="G486" s="61" t="s">
        <v>68</v>
      </c>
      <c r="H486" s="63">
        <v>459</v>
      </c>
      <c r="I486" s="64" t="s">
        <v>58</v>
      </c>
      <c r="J486" s="63" t="s">
        <v>56</v>
      </c>
      <c r="K486" s="65"/>
      <c r="L486" s="66"/>
      <c r="M486" s="67"/>
      <c r="N486" s="67"/>
      <c r="O486" s="67"/>
      <c r="P486" s="68"/>
      <c r="Q486" s="67"/>
      <c r="R486" s="67"/>
      <c r="S486" s="69"/>
      <c r="T486" s="69"/>
      <c r="U486" s="69"/>
      <c r="V486" s="69"/>
      <c r="W486" s="69"/>
      <c r="X486" s="69"/>
      <c r="Y486" s="69"/>
      <c r="Z486" s="69"/>
      <c r="AA486" s="69"/>
      <c r="AB486" s="70"/>
      <c r="AC486" s="69"/>
      <c r="AD486" s="69"/>
      <c r="AE486" s="71"/>
      <c r="AF486" s="69"/>
    </row>
    <row r="487" s="3" customFormat="1" ht="15" customHeight="1" spans="1:46">
      <c r="A487" s="60">
        <v>462</v>
      </c>
      <c r="B487" s="61" t="s">
        <v>746</v>
      </c>
      <c r="C487" s="61" t="s">
        <v>916</v>
      </c>
      <c r="D487" s="61" t="s">
        <v>67</v>
      </c>
      <c r="E487" s="62">
        <v>28183</v>
      </c>
      <c r="F487" s="61">
        <v>14052</v>
      </c>
      <c r="G487" s="61" t="s">
        <v>85</v>
      </c>
      <c r="H487" s="63">
        <v>459</v>
      </c>
      <c r="I487" s="64" t="s">
        <v>58</v>
      </c>
      <c r="J487" s="63" t="s">
        <v>56</v>
      </c>
      <c r="K487" s="65"/>
      <c r="L487" s="66"/>
      <c r="M487" s="67"/>
      <c r="N487" s="67"/>
      <c r="O487" s="67"/>
      <c r="P487" s="68"/>
      <c r="Q487" s="67"/>
      <c r="R487" s="67"/>
      <c r="S487" s="69"/>
      <c r="T487" s="69"/>
      <c r="U487" s="69"/>
      <c r="V487" s="69"/>
      <c r="W487" s="69"/>
      <c r="X487" s="69"/>
      <c r="Y487" s="69"/>
      <c r="Z487" s="69"/>
      <c r="AA487" s="69"/>
      <c r="AB487" s="70"/>
      <c r="AC487" s="69"/>
      <c r="AD487" s="69"/>
      <c r="AE487" s="71"/>
      <c r="AF487" s="69"/>
    </row>
    <row r="488" s="3" customFormat="1" ht="15" customHeight="1" spans="1:46">
      <c r="A488" s="60">
        <v>463</v>
      </c>
      <c r="B488" s="61" t="s">
        <v>93</v>
      </c>
      <c r="C488" s="61" t="s">
        <v>919</v>
      </c>
      <c r="D488" s="61" t="s">
        <v>52</v>
      </c>
      <c r="E488" s="62">
        <v>32272</v>
      </c>
      <c r="F488" s="61">
        <v>94591</v>
      </c>
      <c r="G488" s="61" t="s">
        <v>53</v>
      </c>
      <c r="H488" s="63" t="s">
        <v>54</v>
      </c>
      <c r="I488" s="64" t="s">
        <v>53</v>
      </c>
      <c r="J488" s="63" t="s">
        <v>56</v>
      </c>
      <c r="K488" s="65" t="s">
        <v>82</v>
      </c>
      <c r="L488" s="66">
        <v>781.79</v>
      </c>
      <c r="M488" s="67" t="s">
        <v>53</v>
      </c>
      <c r="N488" s="67" t="s">
        <v>59</v>
      </c>
      <c r="O488" s="67">
        <v>42.39</v>
      </c>
      <c r="P488" s="68" t="s">
        <v>53</v>
      </c>
      <c r="Q488" s="67" t="s">
        <v>60</v>
      </c>
      <c r="R488" s="67">
        <v>8.22</v>
      </c>
      <c r="S488" s="69" t="s">
        <v>61</v>
      </c>
      <c r="T488" s="69">
        <v>250000</v>
      </c>
      <c r="U488" s="69"/>
      <c r="V488" s="69" t="s">
        <v>62</v>
      </c>
      <c r="W488" s="69">
        <v>8333.75</v>
      </c>
      <c r="X488" s="69"/>
      <c r="Y488" s="69" t="s">
        <v>63</v>
      </c>
      <c r="Z488" s="69">
        <v>1731</v>
      </c>
      <c r="AA488" s="69"/>
      <c r="AB488" s="70"/>
      <c r="AC488" s="69" t="s">
        <v>920</v>
      </c>
      <c r="AD488" s="69"/>
      <c r="AE488" s="71">
        <v>150000</v>
      </c>
      <c r="AF488" s="69"/>
      <c r="AG488" s="3" t="str">
        <f>B488&amp;C488</f>
        <v>SarahUmadhay</v>
      </c>
      <c r="AH488" s="3" t="str">
        <f>VLOOKUP($AG488,[1]Sheet8!$B:$G,1,0)</f>
        <v>SARAHUMADHAY</v>
      </c>
      <c r="AI488" s="3" t="str">
        <f>VLOOKUP($AG488,[1]Sheet8!$B:$G,4,0)</f>
        <v>EE</v>
      </c>
      <c r="AJ488" s="3" t="str">
        <f>VLOOKUP($AG488,[1]Sheet8!$B:$G,5,0)</f>
        <v>L093530003</v>
      </c>
      <c r="AK488" s="3">
        <f>VLOOKUP($AG488,[1]Sheet8!$B:$G,6,0)</f>
        <v>8.22</v>
      </c>
      <c r="AL488" s="3" t="s">
        <v>53</v>
      </c>
      <c r="AM488" s="3" t="s">
        <v>82</v>
      </c>
      <c r="AN488" s="3">
        <v>781.79</v>
      </c>
      <c r="AO488" s="3" t="s">
        <v>53</v>
      </c>
      <c r="AP488" s="3" t="s">
        <v>59</v>
      </c>
      <c r="AQ488" s="3">
        <v>42.39</v>
      </c>
      <c r="AR488" s="3" t="s">
        <v>53</v>
      </c>
      <c r="AS488" s="3" t="s">
        <v>60</v>
      </c>
      <c r="AT488" s="3">
        <v>8.22</v>
      </c>
    </row>
    <row r="489" s="3" customFormat="1" ht="15" customHeight="1" spans="1:46">
      <c r="A489" s="60">
        <v>464</v>
      </c>
      <c r="B489" s="61" t="s">
        <v>921</v>
      </c>
      <c r="C489" s="61" t="s">
        <v>922</v>
      </c>
      <c r="D489" s="61" t="s">
        <v>67</v>
      </c>
      <c r="E489" s="62">
        <v>31155</v>
      </c>
      <c r="F489" s="61">
        <v>28078</v>
      </c>
      <c r="G489" s="61" t="s">
        <v>53</v>
      </c>
      <c r="H489" s="63" t="s">
        <v>54</v>
      </c>
      <c r="I489" s="64" t="s">
        <v>58</v>
      </c>
      <c r="J489" s="63" t="s">
        <v>56</v>
      </c>
      <c r="K489" s="65" t="s">
        <v>57</v>
      </c>
      <c r="L489" s="66">
        <v>3831.06</v>
      </c>
      <c r="M489" s="67" t="s">
        <v>58</v>
      </c>
      <c r="N489" s="67" t="s">
        <v>59</v>
      </c>
      <c r="O489" s="67">
        <v>147.1</v>
      </c>
      <c r="P489" s="68" t="s">
        <v>58</v>
      </c>
      <c r="Q489" s="67" t="s">
        <v>60</v>
      </c>
      <c r="R489" s="67">
        <v>23</v>
      </c>
      <c r="S489" s="69" t="s">
        <v>61</v>
      </c>
      <c r="T489" s="69">
        <v>250000</v>
      </c>
      <c r="U489" s="69"/>
      <c r="V489" s="69" t="s">
        <v>62</v>
      </c>
      <c r="W489" s="69">
        <v>7832.56</v>
      </c>
      <c r="X489" s="69"/>
      <c r="Y489" s="69" t="s">
        <v>63</v>
      </c>
      <c r="Z489" s="69">
        <v>1627</v>
      </c>
      <c r="AA489" s="69"/>
      <c r="AB489" s="70"/>
      <c r="AC489" s="69" t="s">
        <v>923</v>
      </c>
      <c r="AD489" s="69"/>
      <c r="AE489" s="71">
        <v>145208</v>
      </c>
      <c r="AF489" s="69"/>
      <c r="AG489" s="3" t="str">
        <f>B489&amp;C489</f>
        <v>StephenUtych</v>
      </c>
      <c r="AH489" s="3" t="str">
        <f>VLOOKUP($AG489,[1]Sheet8!$B:$G,1,0)</f>
        <v>STEPHENUTYCH</v>
      </c>
      <c r="AI489" s="3" t="str">
        <f>VLOOKUP($AG489,[1]Sheet8!$B:$G,4,0)</f>
        <v>FAM</v>
      </c>
      <c r="AJ489" s="3" t="str">
        <f>VLOOKUP($AG489,[1]Sheet8!$B:$G,5,0)</f>
        <v>L093530003</v>
      </c>
      <c r="AK489" s="3">
        <f>VLOOKUP($AG489,[1]Sheet8!$B:$G,6,0)</f>
        <v>23</v>
      </c>
      <c r="AL489" s="3" t="s">
        <v>58</v>
      </c>
      <c r="AM489" s="3" t="s">
        <v>57</v>
      </c>
      <c r="AN489" s="3">
        <v>3831.06</v>
      </c>
      <c r="AO489" s="3" t="s">
        <v>58</v>
      </c>
      <c r="AP489" s="3" t="s">
        <v>59</v>
      </c>
      <c r="AQ489" s="3">
        <v>147.1</v>
      </c>
      <c r="AR489" s="3" t="s">
        <v>58</v>
      </c>
      <c r="AS489" s="3" t="s">
        <v>60</v>
      </c>
      <c r="AT489" s="3">
        <v>23</v>
      </c>
    </row>
    <row r="490" s="3" customFormat="1" ht="15" customHeight="1" spans="1:46">
      <c r="A490" s="60">
        <v>465</v>
      </c>
      <c r="B490" s="61" t="s">
        <v>924</v>
      </c>
      <c r="C490" s="61" t="s">
        <v>922</v>
      </c>
      <c r="D490" s="61" t="s">
        <v>67</v>
      </c>
      <c r="E490" s="62">
        <v>45435</v>
      </c>
      <c r="F490" s="61">
        <v>28078</v>
      </c>
      <c r="G490" s="61" t="s">
        <v>68</v>
      </c>
      <c r="H490" s="63">
        <v>464</v>
      </c>
      <c r="I490" s="64" t="s">
        <v>58</v>
      </c>
      <c r="J490" s="63" t="s">
        <v>56</v>
      </c>
      <c r="K490" s="65"/>
      <c r="L490" s="66"/>
      <c r="M490" s="67"/>
      <c r="N490" s="67"/>
      <c r="O490" s="67"/>
      <c r="P490" s="68"/>
      <c r="Q490" s="67"/>
      <c r="R490" s="67"/>
      <c r="S490" s="69"/>
      <c r="T490" s="69"/>
      <c r="U490" s="69"/>
      <c r="V490" s="69"/>
      <c r="W490" s="69"/>
      <c r="X490" s="69"/>
      <c r="Y490" s="69"/>
      <c r="Z490" s="69"/>
      <c r="AA490" s="69"/>
      <c r="AB490" s="70"/>
      <c r="AC490" s="69"/>
      <c r="AD490" s="69"/>
      <c r="AE490" s="71"/>
      <c r="AF490" s="69"/>
    </row>
    <row r="491" s="3" customFormat="1" ht="15" customHeight="1" spans="1:46">
      <c r="A491" s="60">
        <v>466</v>
      </c>
      <c r="B491" s="61" t="s">
        <v>925</v>
      </c>
      <c r="C491" s="61" t="s">
        <v>922</v>
      </c>
      <c r="D491" s="61" t="s">
        <v>52</v>
      </c>
      <c r="E491" s="62">
        <v>43771</v>
      </c>
      <c r="F491" s="61">
        <v>28078</v>
      </c>
      <c r="G491" s="61" t="s">
        <v>68</v>
      </c>
      <c r="H491" s="63">
        <v>464</v>
      </c>
      <c r="I491" s="64" t="s">
        <v>58</v>
      </c>
      <c r="J491" s="63" t="s">
        <v>56</v>
      </c>
      <c r="K491" s="65"/>
      <c r="L491" s="66"/>
      <c r="M491" s="67"/>
      <c r="N491" s="67"/>
      <c r="O491" s="67"/>
      <c r="P491" s="68"/>
      <c r="Q491" s="67"/>
      <c r="R491" s="67"/>
      <c r="S491" s="69"/>
      <c r="T491" s="69"/>
      <c r="U491" s="69"/>
      <c r="V491" s="69"/>
      <c r="W491" s="69"/>
      <c r="X491" s="69"/>
      <c r="Y491" s="69"/>
      <c r="Z491" s="69"/>
      <c r="AA491" s="69"/>
      <c r="AB491" s="70"/>
      <c r="AC491" s="69"/>
      <c r="AD491" s="69"/>
      <c r="AE491" s="71"/>
      <c r="AF491" s="69"/>
    </row>
    <row r="492" s="3" customFormat="1" ht="15" customHeight="1" spans="1:46">
      <c r="A492" s="60">
        <v>467</v>
      </c>
      <c r="B492" s="61" t="s">
        <v>182</v>
      </c>
      <c r="C492" s="61" t="s">
        <v>926</v>
      </c>
      <c r="D492" s="61" t="s">
        <v>52</v>
      </c>
      <c r="E492" s="62">
        <v>30772</v>
      </c>
      <c r="F492" s="61">
        <v>28078</v>
      </c>
      <c r="G492" s="61" t="s">
        <v>85</v>
      </c>
      <c r="H492" s="63">
        <v>464</v>
      </c>
      <c r="I492" s="64" t="s">
        <v>58</v>
      </c>
      <c r="J492" s="63" t="s">
        <v>56</v>
      </c>
      <c r="K492" s="65"/>
      <c r="L492" s="66"/>
      <c r="M492" s="67"/>
      <c r="N492" s="67"/>
      <c r="O492" s="67"/>
      <c r="P492" s="68"/>
      <c r="Q492" s="67"/>
      <c r="R492" s="67"/>
      <c r="S492" s="69"/>
      <c r="T492" s="69"/>
      <c r="U492" s="69"/>
      <c r="V492" s="69"/>
      <c r="W492" s="69"/>
      <c r="X492" s="69"/>
      <c r="Y492" s="69"/>
      <c r="Z492" s="69"/>
      <c r="AA492" s="69"/>
      <c r="AB492" s="70"/>
      <c r="AC492" s="69"/>
      <c r="AD492" s="69"/>
      <c r="AE492" s="71"/>
      <c r="AF492" s="69"/>
    </row>
    <row r="493" s="3" customFormat="1" ht="15" customHeight="1" spans="1:46">
      <c r="A493" s="60">
        <v>468</v>
      </c>
      <c r="B493" s="61" t="s">
        <v>927</v>
      </c>
      <c r="C493" s="61" t="s">
        <v>928</v>
      </c>
      <c r="D493" s="61" t="s">
        <v>52</v>
      </c>
      <c r="E493" s="62">
        <v>36457</v>
      </c>
      <c r="F493" s="61">
        <v>13625</v>
      </c>
      <c r="G493" s="61" t="s">
        <v>53</v>
      </c>
      <c r="H493" s="63" t="s">
        <v>54</v>
      </c>
      <c r="I493" s="64" t="s">
        <v>53</v>
      </c>
      <c r="J493" s="63" t="s">
        <v>56</v>
      </c>
      <c r="K493" s="65" t="s">
        <v>57</v>
      </c>
      <c r="L493" s="66">
        <v>1235.83</v>
      </c>
      <c r="M493" s="67" t="s">
        <v>53</v>
      </c>
      <c r="N493" s="67" t="s">
        <v>59</v>
      </c>
      <c r="O493" s="67">
        <v>42.39</v>
      </c>
      <c r="P493" s="68" t="s">
        <v>53</v>
      </c>
      <c r="Q493" s="67" t="s">
        <v>60</v>
      </c>
      <c r="R493" s="67">
        <v>8.22</v>
      </c>
      <c r="S493" s="69" t="s">
        <v>61</v>
      </c>
      <c r="T493" s="69">
        <v>129000</v>
      </c>
      <c r="U493" s="69"/>
      <c r="V493" s="69" t="s">
        <v>62</v>
      </c>
      <c r="W493" s="69">
        <v>3575.18</v>
      </c>
      <c r="X493" s="69"/>
      <c r="Y493" s="69" t="s">
        <v>63</v>
      </c>
      <c r="Z493" s="69">
        <v>743</v>
      </c>
      <c r="AA493" s="69"/>
      <c r="AB493" s="70"/>
      <c r="AC493" s="69" t="s">
        <v>138</v>
      </c>
      <c r="AD493" s="69"/>
      <c r="AE493" s="71">
        <v>64350</v>
      </c>
      <c r="AF493" s="69"/>
      <c r="AG493" s="3" t="str">
        <f>B493&amp;C493</f>
        <v>MaraVaccaro</v>
      </c>
      <c r="AH493" s="3" t="str">
        <f>VLOOKUP($AG493,[1]Sheet8!$B:$G,1,0)</f>
        <v>MARAVACCARO</v>
      </c>
      <c r="AI493" s="3" t="str">
        <f>VLOOKUP($AG493,[1]Sheet8!$B:$G,4,0)</f>
        <v>EE</v>
      </c>
      <c r="AJ493" s="3" t="str">
        <f>VLOOKUP($AG493,[1]Sheet8!$B:$G,5,0)</f>
        <v>L093530003</v>
      </c>
      <c r="AK493" s="3">
        <f>VLOOKUP($AG493,[1]Sheet8!$B:$G,6,0)</f>
        <v>8.22</v>
      </c>
      <c r="AL493" s="3" t="s">
        <v>53</v>
      </c>
      <c r="AM493" s="3" t="s">
        <v>57</v>
      </c>
      <c r="AN493" s="3">
        <v>1235.83</v>
      </c>
      <c r="AO493" s="3" t="s">
        <v>53</v>
      </c>
      <c r="AP493" s="3" t="s">
        <v>59</v>
      </c>
      <c r="AQ493" s="3">
        <v>42.39</v>
      </c>
      <c r="AR493" s="3" t="s">
        <v>53</v>
      </c>
      <c r="AS493" s="3" t="s">
        <v>60</v>
      </c>
      <c r="AT493" s="3">
        <v>8.22</v>
      </c>
    </row>
    <row r="494" s="3" customFormat="1" ht="15" customHeight="1" spans="1:46">
      <c r="A494" s="60">
        <v>469</v>
      </c>
      <c r="B494" s="61" t="s">
        <v>453</v>
      </c>
      <c r="C494" s="61" t="s">
        <v>929</v>
      </c>
      <c r="D494" s="61" t="s">
        <v>67</v>
      </c>
      <c r="E494" s="62">
        <v>30196</v>
      </c>
      <c r="F494" s="61">
        <v>10022</v>
      </c>
      <c r="G494" s="61" t="s">
        <v>53</v>
      </c>
      <c r="H494" s="63" t="s">
        <v>54</v>
      </c>
      <c r="I494" s="64" t="s">
        <v>119</v>
      </c>
      <c r="J494" s="63" t="s">
        <v>56</v>
      </c>
      <c r="K494" s="65"/>
      <c r="L494" s="66"/>
      <c r="M494" s="67" t="s">
        <v>58</v>
      </c>
      <c r="N494" s="67" t="s">
        <v>59</v>
      </c>
      <c r="O494" s="67">
        <v>147.1</v>
      </c>
      <c r="P494" s="68"/>
      <c r="Q494" s="67"/>
      <c r="R494" s="67"/>
      <c r="S494" s="69" t="s">
        <v>61</v>
      </c>
      <c r="T494" s="69">
        <v>250000</v>
      </c>
      <c r="U494" s="69"/>
      <c r="V494" s="69" t="s">
        <v>62</v>
      </c>
      <c r="W494" s="69">
        <v>10000</v>
      </c>
      <c r="X494" s="69"/>
      <c r="Y494" s="69" t="s">
        <v>63</v>
      </c>
      <c r="Z494" s="69">
        <v>2000</v>
      </c>
      <c r="AA494" s="69"/>
      <c r="AB494" s="70"/>
      <c r="AC494" s="69" t="s">
        <v>930</v>
      </c>
      <c r="AD494" s="69"/>
      <c r="AE494" s="71">
        <v>310356</v>
      </c>
      <c r="AF494" s="69"/>
      <c r="AG494" s="3" t="str">
        <f>B494&amp;C494</f>
        <v>JonathanVan Parys</v>
      </c>
      <c r="AH494" s="3" t="e">
        <f>VLOOKUP($AG494,[1]Sheet8!$B:$G,1,0)</f>
        <v>#N/A</v>
      </c>
      <c r="AI494" s="3" t="e">
        <f>VLOOKUP($AG494,[1]Sheet8!$B:$G,4,0)</f>
        <v>#N/A</v>
      </c>
      <c r="AJ494" s="3" t="e">
        <f>VLOOKUP($AG494,[1]Sheet8!$B:$G,5,0)</f>
        <v>#N/A</v>
      </c>
      <c r="AK494" s="3" t="e">
        <f>VLOOKUP($AG494,[1]Sheet8!$B:$G,6,0)</f>
        <v>#N/A</v>
      </c>
      <c r="AO494" s="3" t="s">
        <v>58</v>
      </c>
      <c r="AP494" s="3" t="s">
        <v>59</v>
      </c>
      <c r="AQ494" s="3">
        <v>147.1</v>
      </c>
    </row>
    <row r="495" s="3" customFormat="1" ht="15" customHeight="1" spans="1:46">
      <c r="A495" s="60">
        <v>470</v>
      </c>
      <c r="B495" s="61" t="s">
        <v>124</v>
      </c>
      <c r="C495" s="61" t="s">
        <v>931</v>
      </c>
      <c r="D495" s="61" t="s">
        <v>52</v>
      </c>
      <c r="E495" s="62">
        <v>28752</v>
      </c>
      <c r="F495" s="61">
        <v>97225</v>
      </c>
      <c r="G495" s="61" t="s">
        <v>53</v>
      </c>
      <c r="H495" s="63" t="s">
        <v>54</v>
      </c>
      <c r="I495" s="64" t="s">
        <v>81</v>
      </c>
      <c r="J495" s="63" t="s">
        <v>56</v>
      </c>
      <c r="K495" s="65" t="s">
        <v>57</v>
      </c>
      <c r="L495" s="66">
        <v>2718.81</v>
      </c>
      <c r="M495" s="67" t="s">
        <v>81</v>
      </c>
      <c r="N495" s="67" t="s">
        <v>59</v>
      </c>
      <c r="O495" s="67">
        <v>84.72</v>
      </c>
      <c r="P495" s="68" t="s">
        <v>53</v>
      </c>
      <c r="Q495" s="67" t="s">
        <v>60</v>
      </c>
      <c r="R495" s="67">
        <v>8.22</v>
      </c>
      <c r="S495" s="69" t="s">
        <v>61</v>
      </c>
      <c r="T495" s="69">
        <v>250000</v>
      </c>
      <c r="U495" s="69"/>
      <c r="V495" s="69" t="s">
        <v>62</v>
      </c>
      <c r="W495" s="69">
        <v>7352.7</v>
      </c>
      <c r="X495" s="69"/>
      <c r="Y495" s="69" t="s">
        <v>63</v>
      </c>
      <c r="Z495" s="69">
        <v>1527</v>
      </c>
      <c r="AA495" s="69"/>
      <c r="AB495" s="70"/>
      <c r="AC495" s="69" t="s">
        <v>95</v>
      </c>
      <c r="AD495" s="69"/>
      <c r="AE495" s="71">
        <v>136312</v>
      </c>
      <c r="AF495" s="69"/>
      <c r="AG495" s="3" t="str">
        <f>B495&amp;C495</f>
        <v>EmilyVandevert</v>
      </c>
      <c r="AH495" s="3" t="str">
        <f>VLOOKUP($AG495,[1]Sheet8!$B:$G,1,0)</f>
        <v>EMILYVANDEVERT</v>
      </c>
      <c r="AI495" s="3" t="str">
        <f>VLOOKUP($AG495,[1]Sheet8!$B:$G,4,0)</f>
        <v>EE</v>
      </c>
      <c r="AJ495" s="3" t="str">
        <f>VLOOKUP($AG495,[1]Sheet8!$B:$G,5,0)</f>
        <v>L093530003</v>
      </c>
      <c r="AK495" s="3">
        <f>VLOOKUP($AG495,[1]Sheet8!$B:$G,6,0)</f>
        <v>8.22</v>
      </c>
      <c r="AL495" s="3" t="s">
        <v>81</v>
      </c>
      <c r="AM495" s="3" t="s">
        <v>57</v>
      </c>
      <c r="AN495" s="3">
        <v>2718.81</v>
      </c>
      <c r="AO495" s="3" t="s">
        <v>81</v>
      </c>
      <c r="AP495" s="3" t="s">
        <v>59</v>
      </c>
      <c r="AQ495" s="3">
        <v>84.72</v>
      </c>
      <c r="AR495" s="3" t="s">
        <v>53</v>
      </c>
      <c r="AS495" s="3" t="s">
        <v>60</v>
      </c>
      <c r="AT495" s="3">
        <v>8.22</v>
      </c>
    </row>
    <row r="496" s="3" customFormat="1" ht="15" customHeight="1" spans="1:46">
      <c r="A496" s="60">
        <v>471</v>
      </c>
      <c r="B496" s="61" t="s">
        <v>849</v>
      </c>
      <c r="C496" s="61" t="s">
        <v>931</v>
      </c>
      <c r="D496" s="61" t="s">
        <v>67</v>
      </c>
      <c r="E496" s="62">
        <v>27236</v>
      </c>
      <c r="F496" s="61">
        <v>97225</v>
      </c>
      <c r="G496" s="61" t="s">
        <v>85</v>
      </c>
      <c r="H496" s="63">
        <v>470</v>
      </c>
      <c r="I496" s="64" t="s">
        <v>81</v>
      </c>
      <c r="J496" s="63" t="s">
        <v>56</v>
      </c>
      <c r="K496" s="65"/>
      <c r="L496" s="66"/>
      <c r="M496" s="67"/>
      <c r="N496" s="67"/>
      <c r="O496" s="67"/>
      <c r="P496" s="68"/>
      <c r="Q496" s="67"/>
      <c r="R496" s="67"/>
      <c r="S496" s="69"/>
      <c r="T496" s="69"/>
      <c r="U496" s="69"/>
      <c r="V496" s="69"/>
      <c r="W496" s="69"/>
      <c r="X496" s="69"/>
      <c r="Y496" s="69"/>
      <c r="Z496" s="69"/>
      <c r="AA496" s="69"/>
      <c r="AB496" s="70"/>
      <c r="AC496" s="69"/>
      <c r="AD496" s="69"/>
      <c r="AE496" s="71"/>
      <c r="AF496" s="69"/>
    </row>
    <row r="497" s="3" customFormat="1" ht="15" customHeight="1" spans="1:46">
      <c r="A497" s="60">
        <v>472</v>
      </c>
      <c r="B497" s="61" t="s">
        <v>932</v>
      </c>
      <c r="C497" s="61" t="s">
        <v>933</v>
      </c>
      <c r="D497" s="61" t="s">
        <v>52</v>
      </c>
      <c r="E497" s="62">
        <v>37069</v>
      </c>
      <c r="F497" s="61">
        <v>92104</v>
      </c>
      <c r="G497" s="61" t="s">
        <v>53</v>
      </c>
      <c r="H497" s="63" t="s">
        <v>54</v>
      </c>
      <c r="I497" s="64" t="s">
        <v>53</v>
      </c>
      <c r="J497" s="63" t="s">
        <v>56</v>
      </c>
      <c r="K497" s="65" t="s">
        <v>82</v>
      </c>
      <c r="L497" s="66">
        <v>781.79</v>
      </c>
      <c r="M497" s="67" t="s">
        <v>53</v>
      </c>
      <c r="N497" s="67" t="s">
        <v>59</v>
      </c>
      <c r="O497" s="67">
        <v>42.39</v>
      </c>
      <c r="P497" s="68" t="s">
        <v>53</v>
      </c>
      <c r="Q497" s="67" t="s">
        <v>60</v>
      </c>
      <c r="R497" s="67">
        <v>8.22</v>
      </c>
      <c r="S497" s="69" t="s">
        <v>61</v>
      </c>
      <c r="T497" s="69">
        <v>142000</v>
      </c>
      <c r="U497" s="69"/>
      <c r="V497" s="69" t="s">
        <v>62</v>
      </c>
      <c r="W497" s="69">
        <v>3944.64</v>
      </c>
      <c r="X497" s="69"/>
      <c r="Y497" s="69" t="s">
        <v>63</v>
      </c>
      <c r="Z497" s="69">
        <v>819</v>
      </c>
      <c r="AA497" s="69"/>
      <c r="AB497" s="70"/>
      <c r="AC497" s="69" t="s">
        <v>476</v>
      </c>
      <c r="AD497" s="69"/>
      <c r="AE497" s="71">
        <v>73201</v>
      </c>
      <c r="AF497" s="69"/>
      <c r="AG497" s="3" t="str">
        <f>B497&amp;C497</f>
        <v>JadeVasquez</v>
      </c>
      <c r="AH497" s="3" t="str">
        <f>VLOOKUP($AG497,[1]Sheet8!$B:$G,1,0)</f>
        <v>JADEVASQUEZ</v>
      </c>
      <c r="AI497" s="3" t="str">
        <f>VLOOKUP($AG497,[1]Sheet8!$B:$G,4,0)</f>
        <v>EE</v>
      </c>
      <c r="AJ497" s="3" t="str">
        <f>VLOOKUP($AG497,[1]Sheet8!$B:$G,5,0)</f>
        <v>L093530003</v>
      </c>
      <c r="AK497" s="3">
        <f>VLOOKUP($AG497,[1]Sheet8!$B:$G,6,0)</f>
        <v>8.22</v>
      </c>
      <c r="AL497" s="3" t="s">
        <v>53</v>
      </c>
      <c r="AM497" s="3" t="s">
        <v>82</v>
      </c>
      <c r="AN497" s="3">
        <v>781.79</v>
      </c>
      <c r="AO497" s="3" t="s">
        <v>53</v>
      </c>
      <c r="AP497" s="3" t="s">
        <v>59</v>
      </c>
      <c r="AQ497" s="3">
        <v>42.39</v>
      </c>
      <c r="AR497" s="3" t="s">
        <v>53</v>
      </c>
      <c r="AS497" s="3" t="s">
        <v>60</v>
      </c>
      <c r="AT497" s="3">
        <v>8.22</v>
      </c>
    </row>
    <row r="498" s="3" customFormat="1" ht="15" customHeight="1" spans="1:46">
      <c r="A498" s="60">
        <v>473</v>
      </c>
      <c r="B498" s="61" t="s">
        <v>220</v>
      </c>
      <c r="C498" s="61" t="s">
        <v>934</v>
      </c>
      <c r="D498" s="61" t="s">
        <v>67</v>
      </c>
      <c r="E498" s="62">
        <v>33958</v>
      </c>
      <c r="F498" s="61">
        <v>98107</v>
      </c>
      <c r="G498" s="61" t="s">
        <v>53</v>
      </c>
      <c r="H498" s="63" t="s">
        <v>54</v>
      </c>
      <c r="I498" s="64" t="s">
        <v>81</v>
      </c>
      <c r="J498" s="63" t="s">
        <v>56</v>
      </c>
      <c r="K498" s="65" t="s">
        <v>82</v>
      </c>
      <c r="L498" s="66">
        <v>1719.95</v>
      </c>
      <c r="M498" s="67" t="s">
        <v>81</v>
      </c>
      <c r="N498" s="67" t="s">
        <v>59</v>
      </c>
      <c r="O498" s="67">
        <v>84.72</v>
      </c>
      <c r="P498" s="68" t="s">
        <v>81</v>
      </c>
      <c r="Q498" s="67" t="s">
        <v>60</v>
      </c>
      <c r="R498" s="67">
        <v>16.48</v>
      </c>
      <c r="S498" s="69" t="s">
        <v>61</v>
      </c>
      <c r="T498" s="69">
        <v>188000</v>
      </c>
      <c r="U498" s="69"/>
      <c r="V498" s="69" t="s">
        <v>62</v>
      </c>
      <c r="W498" s="69">
        <v>5222.26</v>
      </c>
      <c r="X498" s="69"/>
      <c r="Y498" s="69" t="s">
        <v>63</v>
      </c>
      <c r="Z498" s="69">
        <v>1085</v>
      </c>
      <c r="AA498" s="69"/>
      <c r="AB498" s="70"/>
      <c r="AC498" s="69" t="s">
        <v>144</v>
      </c>
      <c r="AD498" s="69"/>
      <c r="AE498" s="71">
        <v>96816</v>
      </c>
      <c r="AF498" s="69"/>
      <c r="AG498" s="3" t="str">
        <f>B498&amp;C498</f>
        <v>JavierVesga</v>
      </c>
      <c r="AH498" s="3" t="str">
        <f>VLOOKUP($AG498,[1]Sheet8!$B:$G,1,0)</f>
        <v>JAVIERVESGA</v>
      </c>
      <c r="AI498" s="3" t="str">
        <f>VLOOKUP($AG498,[1]Sheet8!$B:$G,4,0)</f>
        <v>ES</v>
      </c>
      <c r="AJ498" s="3" t="str">
        <f>VLOOKUP($AG498,[1]Sheet8!$B:$G,5,0)</f>
        <v>L093530003</v>
      </c>
      <c r="AK498" s="3">
        <f>VLOOKUP($AG498,[1]Sheet8!$B:$G,6,0)</f>
        <v>16.48</v>
      </c>
      <c r="AL498" s="3" t="s">
        <v>81</v>
      </c>
      <c r="AM498" s="3" t="s">
        <v>82</v>
      </c>
      <c r="AN498" s="3">
        <v>1719.95</v>
      </c>
      <c r="AO498" s="3" t="s">
        <v>81</v>
      </c>
      <c r="AP498" s="3" t="s">
        <v>59</v>
      </c>
      <c r="AQ498" s="3">
        <v>84.72</v>
      </c>
      <c r="AR498" s="3" t="s">
        <v>81</v>
      </c>
      <c r="AS498" s="3" t="s">
        <v>60</v>
      </c>
      <c r="AT498" s="3">
        <v>16.48</v>
      </c>
    </row>
    <row r="499" s="3" customFormat="1" ht="15" customHeight="1" spans="1:46">
      <c r="A499" s="60">
        <v>474</v>
      </c>
      <c r="B499" s="61" t="s">
        <v>935</v>
      </c>
      <c r="C499" s="61" t="s">
        <v>936</v>
      </c>
      <c r="D499" s="61" t="s">
        <v>52</v>
      </c>
      <c r="E499" s="62">
        <v>34604</v>
      </c>
      <c r="F499" s="61">
        <v>98107</v>
      </c>
      <c r="G499" s="61" t="s">
        <v>85</v>
      </c>
      <c r="H499" s="63">
        <v>473</v>
      </c>
      <c r="I499" s="64" t="s">
        <v>81</v>
      </c>
      <c r="J499" s="63" t="s">
        <v>56</v>
      </c>
      <c r="K499" s="65"/>
      <c r="L499" s="66"/>
      <c r="M499" s="67"/>
      <c r="N499" s="67"/>
      <c r="O499" s="67"/>
      <c r="P499" s="68"/>
      <c r="Q499" s="67"/>
      <c r="R499" s="67"/>
      <c r="S499" s="69"/>
      <c r="T499" s="69"/>
      <c r="U499" s="69"/>
      <c r="V499" s="69"/>
      <c r="W499" s="69"/>
      <c r="X499" s="69"/>
      <c r="Y499" s="69"/>
      <c r="Z499" s="69"/>
      <c r="AA499" s="69"/>
      <c r="AB499" s="70"/>
      <c r="AC499" s="69"/>
      <c r="AD499" s="69"/>
      <c r="AE499" s="71"/>
      <c r="AF499" s="69"/>
    </row>
    <row r="500" s="3" customFormat="1" ht="15" customHeight="1" spans="1:46">
      <c r="A500" s="60">
        <v>475</v>
      </c>
      <c r="B500" s="61" t="s">
        <v>937</v>
      </c>
      <c r="C500" s="61" t="s">
        <v>938</v>
      </c>
      <c r="D500" s="61" t="s">
        <v>52</v>
      </c>
      <c r="E500" s="62">
        <v>35906</v>
      </c>
      <c r="F500" s="61">
        <v>20147</v>
      </c>
      <c r="G500" s="61" t="s">
        <v>53</v>
      </c>
      <c r="H500" s="63" t="s">
        <v>54</v>
      </c>
      <c r="I500" s="64" t="s">
        <v>53</v>
      </c>
      <c r="J500" s="63" t="s">
        <v>56</v>
      </c>
      <c r="K500" s="65" t="s">
        <v>57</v>
      </c>
      <c r="L500" s="66">
        <v>1235.83</v>
      </c>
      <c r="M500" s="67" t="s">
        <v>53</v>
      </c>
      <c r="N500" s="67" t="s">
        <v>59</v>
      </c>
      <c r="O500" s="67">
        <v>42.39</v>
      </c>
      <c r="P500" s="68" t="s">
        <v>53</v>
      </c>
      <c r="Q500" s="67" t="s">
        <v>60</v>
      </c>
      <c r="R500" s="67">
        <v>8.22</v>
      </c>
      <c r="S500" s="69" t="s">
        <v>61</v>
      </c>
      <c r="T500" s="69">
        <v>166000</v>
      </c>
      <c r="U500" s="69"/>
      <c r="V500" s="69" t="s">
        <v>62</v>
      </c>
      <c r="W500" s="69">
        <v>4601.84</v>
      </c>
      <c r="X500" s="69"/>
      <c r="Y500" s="69" t="s">
        <v>63</v>
      </c>
      <c r="Z500" s="69">
        <v>956</v>
      </c>
      <c r="AA500" s="69"/>
      <c r="AB500" s="70"/>
      <c r="AC500" s="69" t="s">
        <v>185</v>
      </c>
      <c r="AD500" s="69"/>
      <c r="AE500" s="71">
        <v>85314</v>
      </c>
      <c r="AF500" s="69"/>
      <c r="AG500" s="3" t="str">
        <f>B500&amp;C500</f>
        <v>OliviaWalters</v>
      </c>
      <c r="AH500" s="3" t="str">
        <f>VLOOKUP($AG500,[1]Sheet8!$B:$G,1,0)</f>
        <v>OLIVIAWALTERS</v>
      </c>
      <c r="AI500" s="3" t="str">
        <f>VLOOKUP($AG500,[1]Sheet8!$B:$G,4,0)</f>
        <v>EE</v>
      </c>
      <c r="AJ500" s="3" t="str">
        <f>VLOOKUP($AG500,[1]Sheet8!$B:$G,5,0)</f>
        <v>L093530003</v>
      </c>
      <c r="AK500" s="3">
        <f>VLOOKUP($AG500,[1]Sheet8!$B:$G,6,0)</f>
        <v>8.22</v>
      </c>
      <c r="AL500" s="3" t="s">
        <v>53</v>
      </c>
      <c r="AM500" s="3" t="s">
        <v>57</v>
      </c>
      <c r="AN500" s="3">
        <v>1235.83</v>
      </c>
      <c r="AO500" s="3" t="s">
        <v>53</v>
      </c>
      <c r="AP500" s="3" t="s">
        <v>59</v>
      </c>
      <c r="AQ500" s="3">
        <v>42.39</v>
      </c>
      <c r="AR500" s="3" t="s">
        <v>53</v>
      </c>
      <c r="AS500" s="3" t="s">
        <v>60</v>
      </c>
      <c r="AT500" s="3">
        <v>8.22</v>
      </c>
    </row>
    <row r="501" s="3" customFormat="1" ht="15" customHeight="1" spans="1:46">
      <c r="A501" s="60">
        <v>476</v>
      </c>
      <c r="B501" s="61" t="s">
        <v>939</v>
      </c>
      <c r="C501" s="61" t="s">
        <v>940</v>
      </c>
      <c r="D501" s="61" t="s">
        <v>52</v>
      </c>
      <c r="E501" s="62">
        <v>28533</v>
      </c>
      <c r="F501" s="61">
        <v>95014</v>
      </c>
      <c r="G501" s="61" t="s">
        <v>53</v>
      </c>
      <c r="H501" s="63" t="s">
        <v>54</v>
      </c>
      <c r="I501" s="64" t="s">
        <v>119</v>
      </c>
      <c r="J501" s="63" t="s">
        <v>56</v>
      </c>
      <c r="K501" s="65"/>
      <c r="L501" s="66"/>
      <c r="M501" s="67"/>
      <c r="N501" s="67"/>
      <c r="O501" s="67"/>
      <c r="P501" s="68" t="s">
        <v>58</v>
      </c>
      <c r="Q501" s="67" t="s">
        <v>60</v>
      </c>
      <c r="R501" s="67">
        <v>23</v>
      </c>
      <c r="S501" s="69" t="s">
        <v>61</v>
      </c>
      <c r="T501" s="69">
        <v>216000</v>
      </c>
      <c r="U501" s="69"/>
      <c r="V501" s="69" t="s">
        <v>62</v>
      </c>
      <c r="W501" s="69">
        <v>5977.41</v>
      </c>
      <c r="X501" s="69"/>
      <c r="Y501" s="69" t="s">
        <v>63</v>
      </c>
      <c r="Z501" s="69">
        <v>1241</v>
      </c>
      <c r="AA501" s="69"/>
      <c r="AB501" s="70"/>
      <c r="AC501" s="69" t="s">
        <v>941</v>
      </c>
      <c r="AD501" s="69"/>
      <c r="AE501" s="71">
        <v>110816</v>
      </c>
      <c r="AF501" s="69"/>
      <c r="AG501" s="3" t="str">
        <f>B501&amp;C501</f>
        <v>ZhengWang</v>
      </c>
      <c r="AH501" s="3" t="str">
        <f>VLOOKUP($AG501,[1]Sheet8!$B:$G,1,0)</f>
        <v>ZHENGWANG</v>
      </c>
      <c r="AI501" s="3" t="str">
        <f>VLOOKUP($AG501,[1]Sheet8!$B:$G,4,0)</f>
        <v>FAM</v>
      </c>
      <c r="AJ501" s="3" t="str">
        <f>VLOOKUP($AG501,[1]Sheet8!$B:$G,5,0)</f>
        <v>L093530003</v>
      </c>
      <c r="AK501" s="3">
        <f>VLOOKUP($AG501,[1]Sheet8!$B:$G,6,0)</f>
        <v>23</v>
      </c>
      <c r="AR501" s="3" t="s">
        <v>58</v>
      </c>
      <c r="AS501" s="3" t="s">
        <v>60</v>
      </c>
      <c r="AT501" s="3">
        <v>23</v>
      </c>
    </row>
    <row r="502" s="3" customFormat="1" ht="15" customHeight="1" spans="1:46">
      <c r="A502" s="60">
        <v>477</v>
      </c>
      <c r="B502" s="61" t="s">
        <v>602</v>
      </c>
      <c r="C502" s="61" t="s">
        <v>940</v>
      </c>
      <c r="D502" s="61" t="s">
        <v>67</v>
      </c>
      <c r="E502" s="62">
        <v>35141</v>
      </c>
      <c r="F502" s="61">
        <v>30326</v>
      </c>
      <c r="G502" s="61" t="s">
        <v>53</v>
      </c>
      <c r="H502" s="63" t="s">
        <v>54</v>
      </c>
      <c r="I502" s="64" t="s">
        <v>53</v>
      </c>
      <c r="J502" s="63" t="s">
        <v>56</v>
      </c>
      <c r="K502" s="65" t="s">
        <v>57</v>
      </c>
      <c r="L502" s="66">
        <v>1235.83</v>
      </c>
      <c r="M502" s="67" t="s">
        <v>53</v>
      </c>
      <c r="N502" s="67" t="s">
        <v>59</v>
      </c>
      <c r="O502" s="67">
        <v>42.39</v>
      </c>
      <c r="P502" s="68" t="s">
        <v>53</v>
      </c>
      <c r="Q502" s="67" t="s">
        <v>60</v>
      </c>
      <c r="R502" s="67">
        <v>8.22</v>
      </c>
      <c r="S502" s="69" t="s">
        <v>61</v>
      </c>
      <c r="T502" s="69">
        <v>162000</v>
      </c>
      <c r="U502" s="69"/>
      <c r="V502" s="69" t="s">
        <v>62</v>
      </c>
      <c r="W502" s="69">
        <v>4500.23</v>
      </c>
      <c r="X502" s="69"/>
      <c r="Y502" s="69" t="s">
        <v>63</v>
      </c>
      <c r="Z502" s="69">
        <v>935</v>
      </c>
      <c r="AA502" s="69"/>
      <c r="AB502" s="70"/>
      <c r="AC502" s="69" t="s">
        <v>942</v>
      </c>
      <c r="AD502" s="69"/>
      <c r="AE502" s="71">
        <v>83228</v>
      </c>
      <c r="AF502" s="69"/>
      <c r="AG502" s="3" t="str">
        <f t="shared" ref="AG502:AG513" si="17">B502&amp;C502</f>
        <v>EdmundWang</v>
      </c>
      <c r="AH502" s="3" t="str">
        <f>VLOOKUP($AG502,[1]Sheet8!$B:$G,1,0)</f>
        <v>EDMUNDWANG</v>
      </c>
      <c r="AI502" s="3" t="str">
        <f>VLOOKUP($AG502,[1]Sheet8!$B:$G,4,0)</f>
        <v>EE</v>
      </c>
      <c r="AJ502" s="3" t="str">
        <f>VLOOKUP($AG502,[1]Sheet8!$B:$G,5,0)</f>
        <v>L093530003</v>
      </c>
      <c r="AK502" s="3">
        <f>VLOOKUP($AG502,[1]Sheet8!$B:$G,6,0)</f>
        <v>8.22</v>
      </c>
      <c r="AL502" s="3" t="s">
        <v>53</v>
      </c>
      <c r="AM502" s="3" t="s">
        <v>57</v>
      </c>
      <c r="AN502" s="3">
        <v>1235.83</v>
      </c>
      <c r="AO502" s="3" t="s">
        <v>53</v>
      </c>
      <c r="AP502" s="3" t="s">
        <v>59</v>
      </c>
      <c r="AQ502" s="3">
        <v>42.39</v>
      </c>
      <c r="AR502" s="3" t="s">
        <v>53</v>
      </c>
      <c r="AS502" s="3" t="s">
        <v>60</v>
      </c>
      <c r="AT502" s="3">
        <v>8.22</v>
      </c>
    </row>
    <row r="503" s="3" customFormat="1" ht="15" customHeight="1" spans="1:46">
      <c r="A503" s="60">
        <v>478</v>
      </c>
      <c r="B503" s="61" t="s">
        <v>943</v>
      </c>
      <c r="C503" s="61" t="s">
        <v>940</v>
      </c>
      <c r="D503" s="61" t="s">
        <v>52</v>
      </c>
      <c r="E503" s="62">
        <v>34916</v>
      </c>
      <c r="F503" s="61">
        <v>91360</v>
      </c>
      <c r="G503" s="61" t="s">
        <v>53</v>
      </c>
      <c r="H503" s="63" t="s">
        <v>54</v>
      </c>
      <c r="I503" s="64" t="s">
        <v>53</v>
      </c>
      <c r="J503" s="63" t="s">
        <v>56</v>
      </c>
      <c r="K503" s="65" t="s">
        <v>82</v>
      </c>
      <c r="L503" s="66">
        <v>781.79</v>
      </c>
      <c r="M503" s="67" t="s">
        <v>53</v>
      </c>
      <c r="N503" s="67" t="s">
        <v>59</v>
      </c>
      <c r="O503" s="67">
        <v>42.39</v>
      </c>
      <c r="P503" s="68" t="s">
        <v>53</v>
      </c>
      <c r="Q503" s="67" t="s">
        <v>60</v>
      </c>
      <c r="R503" s="67">
        <v>8.22</v>
      </c>
      <c r="S503" s="69" t="s">
        <v>61</v>
      </c>
      <c r="T503" s="69">
        <v>250000</v>
      </c>
      <c r="U503" s="69"/>
      <c r="V503" s="69" t="s">
        <v>62</v>
      </c>
      <c r="W503" s="69">
        <v>7161.52</v>
      </c>
      <c r="X503" s="69"/>
      <c r="Y503" s="69" t="s">
        <v>63</v>
      </c>
      <c r="Z503" s="69">
        <v>1487</v>
      </c>
      <c r="AA503" s="69"/>
      <c r="AB503" s="70"/>
      <c r="AC503" s="69" t="s">
        <v>944</v>
      </c>
      <c r="AD503" s="69"/>
      <c r="AE503" s="71">
        <v>142100.42</v>
      </c>
      <c r="AF503" s="69"/>
      <c r="AG503" s="3" t="str">
        <f t="shared" si="17"/>
        <v>JasperWang</v>
      </c>
      <c r="AH503" s="3" t="str">
        <f>VLOOKUP($AG503,[1]Sheet8!$B:$G,1,0)</f>
        <v>JASPERWANG</v>
      </c>
      <c r="AI503" s="3" t="str">
        <f>VLOOKUP($AG503,[1]Sheet8!$B:$G,4,0)</f>
        <v>EE</v>
      </c>
      <c r="AJ503" s="3" t="str">
        <f>VLOOKUP($AG503,[1]Sheet8!$B:$G,5,0)</f>
        <v>L093530003</v>
      </c>
      <c r="AK503" s="3">
        <f>VLOOKUP($AG503,[1]Sheet8!$B:$G,6,0)</f>
        <v>8.22</v>
      </c>
      <c r="AL503" s="3" t="s">
        <v>53</v>
      </c>
      <c r="AM503" s="3" t="s">
        <v>82</v>
      </c>
      <c r="AN503" s="3">
        <v>781.79</v>
      </c>
      <c r="AO503" s="3" t="s">
        <v>53</v>
      </c>
      <c r="AP503" s="3" t="s">
        <v>59</v>
      </c>
      <c r="AQ503" s="3">
        <v>42.39</v>
      </c>
      <c r="AR503" s="3" t="s">
        <v>53</v>
      </c>
      <c r="AS503" s="3" t="s">
        <v>60</v>
      </c>
      <c r="AT503" s="3">
        <v>8.22</v>
      </c>
    </row>
    <row r="504" s="3" customFormat="1" ht="15" customHeight="1" spans="1:46">
      <c r="A504" s="60">
        <v>479</v>
      </c>
      <c r="B504" s="61" t="s">
        <v>163</v>
      </c>
      <c r="C504" s="61" t="s">
        <v>940</v>
      </c>
      <c r="D504" s="61" t="s">
        <v>52</v>
      </c>
      <c r="E504" s="62">
        <v>36103</v>
      </c>
      <c r="F504" s="61">
        <v>95135</v>
      </c>
      <c r="G504" s="61" t="s">
        <v>53</v>
      </c>
      <c r="H504" s="63" t="s">
        <v>54</v>
      </c>
      <c r="I504" s="64" t="s">
        <v>53</v>
      </c>
      <c r="J504" s="63" t="s">
        <v>56</v>
      </c>
      <c r="K504" s="65" t="s">
        <v>82</v>
      </c>
      <c r="L504" s="66">
        <v>781.79</v>
      </c>
      <c r="M504" s="67" t="s">
        <v>53</v>
      </c>
      <c r="N504" s="67" t="s">
        <v>59</v>
      </c>
      <c r="O504" s="67">
        <v>42.39</v>
      </c>
      <c r="P504" s="68" t="s">
        <v>53</v>
      </c>
      <c r="Q504" s="67" t="s">
        <v>60</v>
      </c>
      <c r="R504" s="67">
        <v>8.22</v>
      </c>
      <c r="S504" s="69" t="s">
        <v>61</v>
      </c>
      <c r="T504" s="69">
        <v>138000</v>
      </c>
      <c r="U504" s="69"/>
      <c r="V504" s="69" t="s">
        <v>62</v>
      </c>
      <c r="W504" s="69">
        <v>3813.52</v>
      </c>
      <c r="X504" s="69"/>
      <c r="Y504" s="69" t="s">
        <v>63</v>
      </c>
      <c r="Z504" s="69">
        <v>792</v>
      </c>
      <c r="AA504" s="69"/>
      <c r="AB504" s="70"/>
      <c r="AC504" s="69" t="s">
        <v>416</v>
      </c>
      <c r="AD504" s="69"/>
      <c r="AE504" s="71">
        <v>71386</v>
      </c>
      <c r="AF504" s="69"/>
      <c r="AG504" s="3" t="str">
        <f t="shared" si="17"/>
        <v>ElizabethWang</v>
      </c>
      <c r="AH504" s="3" t="str">
        <f>VLOOKUP($AG504,[1]Sheet8!$B:$G,1,0)</f>
        <v>ELIZABETHWANG</v>
      </c>
      <c r="AI504" s="3" t="str">
        <f>VLOOKUP($AG504,[1]Sheet8!$B:$G,4,0)</f>
        <v>EE</v>
      </c>
      <c r="AJ504" s="3" t="str">
        <f>VLOOKUP($AG504,[1]Sheet8!$B:$G,5,0)</f>
        <v>L093530003</v>
      </c>
      <c r="AK504" s="3">
        <f>VLOOKUP($AG504,[1]Sheet8!$B:$G,6,0)</f>
        <v>8.22</v>
      </c>
      <c r="AL504" s="3" t="s">
        <v>53</v>
      </c>
      <c r="AM504" s="3" t="s">
        <v>82</v>
      </c>
      <c r="AN504" s="3">
        <v>781.79</v>
      </c>
      <c r="AO504" s="3" t="s">
        <v>53</v>
      </c>
      <c r="AP504" s="3" t="s">
        <v>59</v>
      </c>
      <c r="AQ504" s="3">
        <v>42.39</v>
      </c>
      <c r="AR504" s="3" t="s">
        <v>53</v>
      </c>
      <c r="AS504" s="3" t="s">
        <v>60</v>
      </c>
      <c r="AT504" s="3">
        <v>8.22</v>
      </c>
    </row>
    <row r="505" s="3" customFormat="1" ht="15" customHeight="1" spans="1:46">
      <c r="A505" s="60">
        <v>480</v>
      </c>
      <c r="B505" s="61" t="s">
        <v>945</v>
      </c>
      <c r="C505" s="61" t="s">
        <v>940</v>
      </c>
      <c r="D505" s="61" t="s">
        <v>52</v>
      </c>
      <c r="E505" s="62">
        <v>36072</v>
      </c>
      <c r="F505" s="61">
        <v>94539</v>
      </c>
      <c r="G505" s="61" t="s">
        <v>53</v>
      </c>
      <c r="H505" s="63" t="s">
        <v>54</v>
      </c>
      <c r="I505" s="64" t="s">
        <v>119</v>
      </c>
      <c r="J505" s="63" t="s">
        <v>56</v>
      </c>
      <c r="K505" s="65"/>
      <c r="L505" s="66"/>
      <c r="M505" s="67"/>
      <c r="N505" s="67"/>
      <c r="O505" s="67"/>
      <c r="P505" s="68"/>
      <c r="Q505" s="67"/>
      <c r="R505" s="67"/>
      <c r="S505" s="69" t="s">
        <v>61</v>
      </c>
      <c r="T505" s="69">
        <v>236000</v>
      </c>
      <c r="U505" s="69"/>
      <c r="V505" s="69" t="s">
        <v>62</v>
      </c>
      <c r="W505" s="69">
        <v>6546.05</v>
      </c>
      <c r="X505" s="69"/>
      <c r="Y505" s="69" t="s">
        <v>63</v>
      </c>
      <c r="Z505" s="69">
        <v>1360</v>
      </c>
      <c r="AA505" s="69"/>
      <c r="AB505" s="70"/>
      <c r="AC505" s="69" t="s">
        <v>946</v>
      </c>
      <c r="AD505" s="69"/>
      <c r="AE505" s="71">
        <v>123125</v>
      </c>
      <c r="AF505" s="69"/>
      <c r="AG505" s="3" t="str">
        <f t="shared" si="17"/>
        <v>AngieWang</v>
      </c>
      <c r="AH505" s="3" t="e">
        <f>VLOOKUP($AG505,[1]Sheet8!$B:$G,1,0)</f>
        <v>#N/A</v>
      </c>
      <c r="AI505" s="3" t="e">
        <f>VLOOKUP($AG505,[1]Sheet8!$B:$G,4,0)</f>
        <v>#N/A</v>
      </c>
      <c r="AJ505" s="3" t="e">
        <f>VLOOKUP($AG505,[1]Sheet8!$B:$G,5,0)</f>
        <v>#N/A</v>
      </c>
      <c r="AK505" s="3" t="e">
        <f>VLOOKUP($AG505,[1]Sheet8!$B:$G,6,0)</f>
        <v>#N/A</v>
      </c>
    </row>
    <row r="506" s="3" customFormat="1" ht="15" customHeight="1" spans="1:46">
      <c r="A506" s="60">
        <v>481</v>
      </c>
      <c r="B506" s="61" t="s">
        <v>947</v>
      </c>
      <c r="C506" s="61" t="s">
        <v>948</v>
      </c>
      <c r="D506" s="61" t="s">
        <v>52</v>
      </c>
      <c r="E506" s="62">
        <v>35612</v>
      </c>
      <c r="F506" s="61" t="s">
        <v>949</v>
      </c>
      <c r="G506" s="61" t="s">
        <v>53</v>
      </c>
      <c r="H506" s="63" t="s">
        <v>54</v>
      </c>
      <c r="I506" s="64" t="s">
        <v>53</v>
      </c>
      <c r="J506" s="63" t="s">
        <v>56</v>
      </c>
      <c r="K506" s="65" t="s">
        <v>57</v>
      </c>
      <c r="L506" s="66">
        <v>1235.83</v>
      </c>
      <c r="M506" s="67" t="s">
        <v>53</v>
      </c>
      <c r="N506" s="67" t="s">
        <v>59</v>
      </c>
      <c r="O506" s="67">
        <v>42.39</v>
      </c>
      <c r="P506" s="68" t="s">
        <v>53</v>
      </c>
      <c r="Q506" s="67" t="s">
        <v>60</v>
      </c>
      <c r="R506" s="67">
        <v>8.22</v>
      </c>
      <c r="S506" s="69" t="s">
        <v>61</v>
      </c>
      <c r="T506" s="69">
        <v>134000</v>
      </c>
      <c r="U506" s="69"/>
      <c r="V506" s="69" t="s">
        <v>62</v>
      </c>
      <c r="W506" s="69">
        <v>3705.19</v>
      </c>
      <c r="X506" s="69"/>
      <c r="Y506" s="69" t="s">
        <v>63</v>
      </c>
      <c r="Z506" s="69">
        <v>770</v>
      </c>
      <c r="AA506" s="69"/>
      <c r="AB506" s="70"/>
      <c r="AC506" s="69" t="s">
        <v>165</v>
      </c>
      <c r="AD506" s="69"/>
      <c r="AE506" s="71">
        <v>68691</v>
      </c>
      <c r="AF506" s="69"/>
      <c r="AG506" s="3" t="str">
        <f t="shared" si="17"/>
        <v>RianWeinstein</v>
      </c>
      <c r="AH506" s="3" t="str">
        <f>VLOOKUP($AG506,[1]Sheet8!$B:$G,1,0)</f>
        <v>RIANWEINSTEIN</v>
      </c>
      <c r="AI506" s="3" t="str">
        <f>VLOOKUP($AG506,[1]Sheet8!$B:$G,4,0)</f>
        <v>EE</v>
      </c>
      <c r="AJ506" s="3" t="str">
        <f>VLOOKUP($AG506,[1]Sheet8!$B:$G,5,0)</f>
        <v>L093530003</v>
      </c>
      <c r="AK506" s="3">
        <f>VLOOKUP($AG506,[1]Sheet8!$B:$G,6,0)</f>
        <v>8.22</v>
      </c>
      <c r="AL506" s="3" t="s">
        <v>53</v>
      </c>
      <c r="AM506" s="3" t="s">
        <v>57</v>
      </c>
      <c r="AN506" s="3">
        <v>1235.83</v>
      </c>
      <c r="AO506" s="3" t="s">
        <v>53</v>
      </c>
      <c r="AP506" s="3" t="s">
        <v>59</v>
      </c>
      <c r="AQ506" s="3">
        <v>42.39</v>
      </c>
      <c r="AR506" s="3" t="s">
        <v>53</v>
      </c>
      <c r="AS506" s="3" t="s">
        <v>60</v>
      </c>
      <c r="AT506" s="3">
        <v>8.22</v>
      </c>
    </row>
    <row r="507" s="3" customFormat="1" ht="15" customHeight="1" spans="1:46">
      <c r="A507" s="60">
        <v>482</v>
      </c>
      <c r="B507" s="61" t="s">
        <v>950</v>
      </c>
      <c r="C507" s="61" t="s">
        <v>951</v>
      </c>
      <c r="D507" s="61" t="s">
        <v>52</v>
      </c>
      <c r="E507" s="62">
        <v>37015</v>
      </c>
      <c r="F507" s="61">
        <v>91325</v>
      </c>
      <c r="G507" s="61" t="s">
        <v>53</v>
      </c>
      <c r="H507" s="63" t="s">
        <v>54</v>
      </c>
      <c r="I507" s="64" t="s">
        <v>119</v>
      </c>
      <c r="J507" s="63" t="s">
        <v>56</v>
      </c>
      <c r="K507" s="65"/>
      <c r="L507" s="66"/>
      <c r="M507" s="67"/>
      <c r="N507" s="67"/>
      <c r="O507" s="67"/>
      <c r="P507" s="68"/>
      <c r="Q507" s="67"/>
      <c r="R507" s="67"/>
      <c r="S507" s="69" t="s">
        <v>61</v>
      </c>
      <c r="T507" s="69">
        <v>150000</v>
      </c>
      <c r="U507" s="69"/>
      <c r="V507" s="69" t="s">
        <v>62</v>
      </c>
      <c r="W507" s="69">
        <v>4166.88</v>
      </c>
      <c r="X507" s="69"/>
      <c r="Y507" s="69" t="s">
        <v>63</v>
      </c>
      <c r="Z507" s="69">
        <v>865</v>
      </c>
      <c r="AA507" s="69"/>
      <c r="AB507" s="70"/>
      <c r="AC507" s="69" t="s">
        <v>201</v>
      </c>
      <c r="AD507" s="69"/>
      <c r="AE507" s="71">
        <v>77250</v>
      </c>
      <c r="AF507" s="69"/>
      <c r="AG507" s="3" t="str">
        <f t="shared" si="17"/>
        <v>EmmieWetzel</v>
      </c>
      <c r="AH507" s="3" t="e">
        <f>VLOOKUP($AG507,[1]Sheet8!$B:$G,1,0)</f>
        <v>#N/A</v>
      </c>
      <c r="AI507" s="3" t="e">
        <f>VLOOKUP($AG507,[1]Sheet8!$B:$G,4,0)</f>
        <v>#N/A</v>
      </c>
      <c r="AJ507" s="3" t="e">
        <f>VLOOKUP($AG507,[1]Sheet8!$B:$G,5,0)</f>
        <v>#N/A</v>
      </c>
      <c r="AK507" s="3" t="e">
        <f>VLOOKUP($AG507,[1]Sheet8!$B:$G,6,0)</f>
        <v>#N/A</v>
      </c>
    </row>
    <row r="508" s="3" customFormat="1" ht="15" customHeight="1" spans="1:46">
      <c r="A508" s="60">
        <v>483</v>
      </c>
      <c r="B508" s="61" t="s">
        <v>163</v>
      </c>
      <c r="C508" s="61" t="s">
        <v>952</v>
      </c>
      <c r="D508" s="61" t="s">
        <v>52</v>
      </c>
      <c r="E508" s="62">
        <v>35880</v>
      </c>
      <c r="F508" s="61">
        <v>20009</v>
      </c>
      <c r="G508" s="61" t="s">
        <v>53</v>
      </c>
      <c r="H508" s="63" t="s">
        <v>54</v>
      </c>
      <c r="I508" s="64" t="s">
        <v>53</v>
      </c>
      <c r="J508" s="63" t="s">
        <v>56</v>
      </c>
      <c r="K508" s="65" t="s">
        <v>57</v>
      </c>
      <c r="L508" s="66">
        <v>1235.83</v>
      </c>
      <c r="M508" s="67" t="s">
        <v>53</v>
      </c>
      <c r="N508" s="67" t="s">
        <v>59</v>
      </c>
      <c r="O508" s="67">
        <v>42.39</v>
      </c>
      <c r="P508" s="68" t="s">
        <v>53</v>
      </c>
      <c r="Q508" s="67" t="s">
        <v>60</v>
      </c>
      <c r="R508" s="67">
        <v>8.22</v>
      </c>
      <c r="S508" s="69" t="s">
        <v>61</v>
      </c>
      <c r="T508" s="69">
        <v>131000</v>
      </c>
      <c r="U508" s="69"/>
      <c r="V508" s="69" t="s">
        <v>62</v>
      </c>
      <c r="W508" s="69">
        <v>3633.52</v>
      </c>
      <c r="X508" s="69"/>
      <c r="Y508" s="69" t="s">
        <v>63</v>
      </c>
      <c r="Z508" s="69">
        <v>755</v>
      </c>
      <c r="AA508" s="69"/>
      <c r="AB508" s="70"/>
      <c r="AC508" s="69" t="s">
        <v>362</v>
      </c>
      <c r="AD508" s="69"/>
      <c r="AE508" s="71">
        <v>70632</v>
      </c>
      <c r="AF508" s="69"/>
      <c r="AG508" s="3" t="str">
        <f t="shared" si="17"/>
        <v>ElizabethWhite</v>
      </c>
      <c r="AH508" s="3" t="str">
        <f>VLOOKUP($AG508,[1]Sheet8!$B:$G,1,0)</f>
        <v>ELIZABETHWHITE</v>
      </c>
      <c r="AI508" s="3" t="str">
        <f>VLOOKUP($AG508,[1]Sheet8!$B:$G,4,0)</f>
        <v>EE</v>
      </c>
      <c r="AJ508" s="3" t="str">
        <f>VLOOKUP($AG508,[1]Sheet8!$B:$G,5,0)</f>
        <v>L093530003</v>
      </c>
      <c r="AK508" s="3">
        <f>VLOOKUP($AG508,[1]Sheet8!$B:$G,6,0)</f>
        <v>8.22</v>
      </c>
      <c r="AL508" s="3" t="s">
        <v>53</v>
      </c>
      <c r="AM508" s="3" t="s">
        <v>57</v>
      </c>
      <c r="AN508" s="3">
        <v>1235.83</v>
      </c>
      <c r="AO508" s="3" t="s">
        <v>53</v>
      </c>
      <c r="AP508" s="3" t="s">
        <v>59</v>
      </c>
      <c r="AQ508" s="3">
        <v>42.39</v>
      </c>
      <c r="AR508" s="3" t="s">
        <v>53</v>
      </c>
      <c r="AS508" s="3" t="s">
        <v>60</v>
      </c>
      <c r="AT508" s="3">
        <v>8.22</v>
      </c>
    </row>
    <row r="509" s="3" customFormat="1" ht="15" customHeight="1" spans="1:46">
      <c r="A509" s="60">
        <v>484</v>
      </c>
      <c r="B509" s="61" t="s">
        <v>198</v>
      </c>
      <c r="C509" s="61" t="s">
        <v>953</v>
      </c>
      <c r="D509" s="61" t="s">
        <v>52</v>
      </c>
      <c r="E509" s="62">
        <v>36658</v>
      </c>
      <c r="F509" s="61">
        <v>35213</v>
      </c>
      <c r="G509" s="61" t="s">
        <v>53</v>
      </c>
      <c r="H509" s="63" t="s">
        <v>54</v>
      </c>
      <c r="I509" s="64" t="s">
        <v>53</v>
      </c>
      <c r="J509" s="63" t="s">
        <v>56</v>
      </c>
      <c r="K509" s="65" t="s">
        <v>82</v>
      </c>
      <c r="L509" s="66">
        <v>781.79</v>
      </c>
      <c r="M509" s="67" t="s">
        <v>53</v>
      </c>
      <c r="N509" s="67" t="s">
        <v>59</v>
      </c>
      <c r="O509" s="67">
        <v>42.39</v>
      </c>
      <c r="P509" s="68" t="s">
        <v>53</v>
      </c>
      <c r="Q509" s="67" t="s">
        <v>60</v>
      </c>
      <c r="R509" s="67">
        <v>8.22</v>
      </c>
      <c r="S509" s="69" t="s">
        <v>61</v>
      </c>
      <c r="T509" s="69">
        <v>150000</v>
      </c>
      <c r="U509" s="69"/>
      <c r="V509" s="69" t="s">
        <v>62</v>
      </c>
      <c r="W509" s="69">
        <v>4166.88</v>
      </c>
      <c r="X509" s="69"/>
      <c r="Y509" s="69" t="s">
        <v>63</v>
      </c>
      <c r="Z509" s="69">
        <v>865</v>
      </c>
      <c r="AA509" s="69"/>
      <c r="AB509" s="70"/>
      <c r="AC509" s="69" t="s">
        <v>954</v>
      </c>
      <c r="AD509" s="69"/>
      <c r="AE509" s="71">
        <v>79950</v>
      </c>
      <c r="AF509" s="69"/>
      <c r="AG509" s="3" t="str">
        <f t="shared" si="17"/>
        <v>AnnaWhitehead</v>
      </c>
      <c r="AH509" s="3" t="str">
        <f>VLOOKUP($AG509,[1]Sheet8!$B:$G,1,0)</f>
        <v>ANNAWHITEHEAD</v>
      </c>
      <c r="AI509" s="3" t="str">
        <f>VLOOKUP($AG509,[1]Sheet8!$B:$G,4,0)</f>
        <v>EE</v>
      </c>
      <c r="AJ509" s="3" t="str">
        <f>VLOOKUP($AG509,[1]Sheet8!$B:$G,5,0)</f>
        <v>L093530003</v>
      </c>
      <c r="AK509" s="3">
        <f>VLOOKUP($AG509,[1]Sheet8!$B:$G,6,0)</f>
        <v>8.22</v>
      </c>
      <c r="AL509" s="3" t="s">
        <v>53</v>
      </c>
      <c r="AM509" s="3" t="s">
        <v>82</v>
      </c>
      <c r="AN509" s="3">
        <v>781.79</v>
      </c>
      <c r="AO509" s="3" t="s">
        <v>53</v>
      </c>
      <c r="AP509" s="3" t="s">
        <v>59</v>
      </c>
      <c r="AQ509" s="3">
        <v>42.39</v>
      </c>
      <c r="AR509" s="3" t="s">
        <v>53</v>
      </c>
      <c r="AS509" s="3" t="s">
        <v>60</v>
      </c>
      <c r="AT509" s="3">
        <v>8.22</v>
      </c>
    </row>
    <row r="510" s="3" customFormat="1" ht="15" customHeight="1" spans="1:46">
      <c r="A510" s="60">
        <v>485</v>
      </c>
      <c r="B510" s="61" t="s">
        <v>594</v>
      </c>
      <c r="C510" s="61" t="s">
        <v>955</v>
      </c>
      <c r="D510" s="61" t="s">
        <v>67</v>
      </c>
      <c r="E510" s="62">
        <v>26346</v>
      </c>
      <c r="F510" s="61" t="s">
        <v>956</v>
      </c>
      <c r="G510" s="61" t="s">
        <v>53</v>
      </c>
      <c r="H510" s="63" t="s">
        <v>54</v>
      </c>
      <c r="I510" s="64" t="s">
        <v>119</v>
      </c>
      <c r="J510" s="63" t="s">
        <v>56</v>
      </c>
      <c r="K510" s="65"/>
      <c r="L510" s="66"/>
      <c r="M510" s="67"/>
      <c r="N510" s="67"/>
      <c r="O510" s="67"/>
      <c r="P510" s="68"/>
      <c r="Q510" s="67"/>
      <c r="R510" s="67"/>
      <c r="S510" s="69" t="s">
        <v>61</v>
      </c>
      <c r="T510" s="69">
        <v>250000</v>
      </c>
      <c r="U510" s="69"/>
      <c r="V510" s="69" t="s">
        <v>62</v>
      </c>
      <c r="W510" s="69">
        <v>9244.91</v>
      </c>
      <c r="X510" s="69"/>
      <c r="Y510" s="69" t="s">
        <v>63</v>
      </c>
      <c r="Z510" s="69">
        <v>1920</v>
      </c>
      <c r="AA510" s="69"/>
      <c r="AB510" s="70"/>
      <c r="AC510" s="69" t="s">
        <v>788</v>
      </c>
      <c r="AD510" s="69"/>
      <c r="AE510" s="71">
        <v>173056</v>
      </c>
      <c r="AF510" s="69"/>
      <c r="AG510" s="3" t="str">
        <f t="shared" si="17"/>
        <v>ChristopherWilkes</v>
      </c>
      <c r="AH510" s="3" t="e">
        <f>VLOOKUP($AG510,[1]Sheet8!$B:$G,1,0)</f>
        <v>#N/A</v>
      </c>
      <c r="AI510" s="3" t="e">
        <f>VLOOKUP($AG510,[1]Sheet8!$B:$G,4,0)</f>
        <v>#N/A</v>
      </c>
      <c r="AJ510" s="3" t="e">
        <f>VLOOKUP($AG510,[1]Sheet8!$B:$G,5,0)</f>
        <v>#N/A</v>
      </c>
      <c r="AK510" s="3" t="e">
        <f>VLOOKUP($AG510,[1]Sheet8!$B:$G,6,0)</f>
        <v>#N/A</v>
      </c>
    </row>
    <row r="511" s="3" customFormat="1" ht="15" customHeight="1" spans="1:46">
      <c r="A511" s="60">
        <v>486</v>
      </c>
      <c r="B511" s="61" t="s">
        <v>251</v>
      </c>
      <c r="C511" s="61" t="s">
        <v>957</v>
      </c>
      <c r="D511" s="61" t="s">
        <v>67</v>
      </c>
      <c r="E511" s="62">
        <v>26541</v>
      </c>
      <c r="F511" s="61">
        <v>33707</v>
      </c>
      <c r="G511" s="61" t="s">
        <v>53</v>
      </c>
      <c r="H511" s="63" t="s">
        <v>54</v>
      </c>
      <c r="I511" s="64" t="s">
        <v>53</v>
      </c>
      <c r="J511" s="63" t="s">
        <v>56</v>
      </c>
      <c r="K511" s="65" t="s">
        <v>57</v>
      </c>
      <c r="L511" s="66">
        <v>1235.83</v>
      </c>
      <c r="M511" s="67" t="s">
        <v>53</v>
      </c>
      <c r="N511" s="67" t="s">
        <v>59</v>
      </c>
      <c r="O511" s="67">
        <v>42.39</v>
      </c>
      <c r="P511" s="68" t="s">
        <v>53</v>
      </c>
      <c r="Q511" s="67" t="s">
        <v>60</v>
      </c>
      <c r="R511" s="67">
        <v>8.22</v>
      </c>
      <c r="S511" s="69" t="s">
        <v>61</v>
      </c>
      <c r="T511" s="69">
        <v>250000</v>
      </c>
      <c r="U511" s="69"/>
      <c r="V511" s="69" t="s">
        <v>62</v>
      </c>
      <c r="W511" s="69">
        <v>7605.6</v>
      </c>
      <c r="X511" s="69"/>
      <c r="Y511" s="69" t="s">
        <v>63</v>
      </c>
      <c r="Z511" s="69">
        <v>1580</v>
      </c>
      <c r="AA511" s="69"/>
      <c r="AB511" s="70"/>
      <c r="AC511" s="69" t="s">
        <v>958</v>
      </c>
      <c r="AD511" s="69"/>
      <c r="AE511" s="71">
        <v>141000</v>
      </c>
      <c r="AF511" s="69"/>
      <c r="AG511" s="3" t="str">
        <f t="shared" si="17"/>
        <v>JosephWilliams</v>
      </c>
      <c r="AH511" s="3" t="str">
        <f>VLOOKUP($AG511,[1]Sheet8!$B:$G,1,0)</f>
        <v>JOSEPHWILLIAMS</v>
      </c>
      <c r="AI511" s="3" t="str">
        <f>VLOOKUP($AG511,[1]Sheet8!$B:$G,4,0)</f>
        <v>EE</v>
      </c>
      <c r="AJ511" s="3" t="str">
        <f>VLOOKUP($AG511,[1]Sheet8!$B:$G,5,0)</f>
        <v>L093530003</v>
      </c>
      <c r="AK511" s="3">
        <f>VLOOKUP($AG511,[1]Sheet8!$B:$G,6,0)</f>
        <v>8.22</v>
      </c>
      <c r="AL511" s="3" t="s">
        <v>53</v>
      </c>
      <c r="AM511" s="3" t="s">
        <v>57</v>
      </c>
      <c r="AN511" s="3">
        <v>1235.83</v>
      </c>
      <c r="AO511" s="3" t="s">
        <v>53</v>
      </c>
      <c r="AP511" s="3" t="s">
        <v>59</v>
      </c>
      <c r="AQ511" s="3">
        <v>42.39</v>
      </c>
      <c r="AR511" s="3" t="s">
        <v>53</v>
      </c>
      <c r="AS511" s="3" t="s">
        <v>60</v>
      </c>
      <c r="AT511" s="3">
        <v>8.22</v>
      </c>
    </row>
    <row r="512" s="3" customFormat="1" ht="15" customHeight="1" spans="1:46">
      <c r="A512" s="60">
        <v>487</v>
      </c>
      <c r="B512" s="61" t="s">
        <v>272</v>
      </c>
      <c r="C512" s="61" t="s">
        <v>957</v>
      </c>
      <c r="D512" s="61" t="s">
        <v>52</v>
      </c>
      <c r="E512" s="62">
        <v>32803</v>
      </c>
      <c r="F512" s="61">
        <v>97211</v>
      </c>
      <c r="G512" s="61" t="s">
        <v>53</v>
      </c>
      <c r="H512" s="63" t="s">
        <v>54</v>
      </c>
      <c r="I512" s="64" t="s">
        <v>53</v>
      </c>
      <c r="J512" s="63" t="s">
        <v>56</v>
      </c>
      <c r="K512" s="65" t="s">
        <v>82</v>
      </c>
      <c r="L512" s="66">
        <v>781.79</v>
      </c>
      <c r="M512" s="67" t="s">
        <v>53</v>
      </c>
      <c r="N512" s="67" t="s">
        <v>59</v>
      </c>
      <c r="O512" s="67">
        <v>42.39</v>
      </c>
      <c r="P512" s="68" t="s">
        <v>53</v>
      </c>
      <c r="Q512" s="67" t="s">
        <v>60</v>
      </c>
      <c r="R512" s="67">
        <v>8.22</v>
      </c>
      <c r="S512" s="69" t="s">
        <v>61</v>
      </c>
      <c r="T512" s="69">
        <v>160000</v>
      </c>
      <c r="U512" s="69"/>
      <c r="V512" s="69" t="s">
        <v>62</v>
      </c>
      <c r="W512" s="69">
        <v>4444.67</v>
      </c>
      <c r="X512" s="69"/>
      <c r="Y512" s="69" t="s">
        <v>63</v>
      </c>
      <c r="Z512" s="69">
        <v>923</v>
      </c>
      <c r="AA512" s="69"/>
      <c r="AB512" s="70"/>
      <c r="AC512" s="69" t="s">
        <v>201</v>
      </c>
      <c r="AD512" s="69"/>
      <c r="AE512" s="71">
        <v>82400</v>
      </c>
      <c r="AF512" s="69"/>
      <c r="AG512" s="3" t="str">
        <f t="shared" si="17"/>
        <v>KatherineWilliams</v>
      </c>
      <c r="AH512" s="3" t="str">
        <f>VLOOKUP($AG512,[1]Sheet8!$B:$G,1,0)</f>
        <v>KATHERINEWILLIAMS</v>
      </c>
      <c r="AI512" s="3" t="str">
        <f>VLOOKUP($AG512,[1]Sheet8!$B:$G,4,0)</f>
        <v>EE</v>
      </c>
      <c r="AJ512" s="3" t="str">
        <f>VLOOKUP($AG512,[1]Sheet8!$B:$G,5,0)</f>
        <v>L093530003</v>
      </c>
      <c r="AK512" s="3">
        <f>VLOOKUP($AG512,[1]Sheet8!$B:$G,6,0)</f>
        <v>8.22</v>
      </c>
      <c r="AL512" s="3" t="s">
        <v>53</v>
      </c>
      <c r="AM512" s="3" t="s">
        <v>82</v>
      </c>
      <c r="AN512" s="3">
        <v>781.79</v>
      </c>
      <c r="AO512" s="3" t="s">
        <v>53</v>
      </c>
      <c r="AP512" s="3" t="s">
        <v>59</v>
      </c>
      <c r="AQ512" s="3">
        <v>42.39</v>
      </c>
      <c r="AR512" s="3" t="s">
        <v>53</v>
      </c>
      <c r="AS512" s="3" t="s">
        <v>60</v>
      </c>
      <c r="AT512" s="3">
        <v>8.22</v>
      </c>
    </row>
    <row r="513" s="3" customFormat="1" ht="15" customHeight="1" spans="1:46">
      <c r="A513" s="60">
        <v>488</v>
      </c>
      <c r="B513" s="61" t="s">
        <v>222</v>
      </c>
      <c r="C513" s="61" t="s">
        <v>959</v>
      </c>
      <c r="D513" s="61" t="s">
        <v>52</v>
      </c>
      <c r="E513" s="62">
        <v>29468</v>
      </c>
      <c r="F513" s="61">
        <v>94121</v>
      </c>
      <c r="G513" s="61" t="s">
        <v>53</v>
      </c>
      <c r="H513" s="63" t="s">
        <v>54</v>
      </c>
      <c r="I513" s="64" t="s">
        <v>81</v>
      </c>
      <c r="J513" s="63" t="s">
        <v>56</v>
      </c>
      <c r="K513" s="65" t="s">
        <v>57</v>
      </c>
      <c r="L513" s="66">
        <v>2718.81</v>
      </c>
      <c r="M513" s="67" t="s">
        <v>58</v>
      </c>
      <c r="N513" s="67" t="s">
        <v>59</v>
      </c>
      <c r="O513" s="67">
        <v>147.1</v>
      </c>
      <c r="P513" s="68" t="s">
        <v>58</v>
      </c>
      <c r="Q513" s="67" t="s">
        <v>60</v>
      </c>
      <c r="R513" s="67">
        <v>23</v>
      </c>
      <c r="S513" s="69" t="s">
        <v>61</v>
      </c>
      <c r="T513" s="69">
        <v>250000</v>
      </c>
      <c r="U513" s="69"/>
      <c r="V513" s="69" t="s">
        <v>62</v>
      </c>
      <c r="W513" s="69">
        <v>9284.02</v>
      </c>
      <c r="X513" s="69"/>
      <c r="Y513" s="69" t="s">
        <v>63</v>
      </c>
      <c r="Z513" s="69">
        <v>1928</v>
      </c>
      <c r="AA513" s="69"/>
      <c r="AB513" s="70"/>
      <c r="AC513" s="69" t="s">
        <v>960</v>
      </c>
      <c r="AD513" s="69"/>
      <c r="AE513" s="71">
        <v>180765</v>
      </c>
      <c r="AF513" s="69"/>
      <c r="AG513" s="3" t="str">
        <f t="shared" si="17"/>
        <v>JenniferWilson</v>
      </c>
      <c r="AH513" s="3" t="str">
        <f>VLOOKUP($AG513,[1]Sheet8!$B:$G,1,0)</f>
        <v>JENNIFERWILSON</v>
      </c>
      <c r="AI513" s="3" t="str">
        <f>VLOOKUP($AG513,[1]Sheet8!$B:$G,4,0)</f>
        <v>FAM</v>
      </c>
      <c r="AJ513" s="3" t="str">
        <f>VLOOKUP($AG513,[1]Sheet8!$B:$G,5,0)</f>
        <v>L093530003</v>
      </c>
      <c r="AK513" s="3">
        <f>VLOOKUP($AG513,[1]Sheet8!$B:$G,6,0)</f>
        <v>23</v>
      </c>
      <c r="AL513" s="3" t="s">
        <v>81</v>
      </c>
      <c r="AM513" s="3" t="s">
        <v>57</v>
      </c>
      <c r="AN513" s="3">
        <v>2718.81</v>
      </c>
      <c r="AO513" s="3" t="s">
        <v>58</v>
      </c>
      <c r="AP513" s="3" t="s">
        <v>59</v>
      </c>
      <c r="AQ513" s="3">
        <v>147.1</v>
      </c>
      <c r="AR513" s="3" t="s">
        <v>58</v>
      </c>
      <c r="AS513" s="3" t="s">
        <v>60</v>
      </c>
      <c r="AT513" s="3">
        <v>23</v>
      </c>
    </row>
    <row r="514" s="3" customFormat="1" ht="15" customHeight="1" spans="1:46">
      <c r="A514" s="60">
        <v>489</v>
      </c>
      <c r="B514" s="61" t="s">
        <v>195</v>
      </c>
      <c r="C514" s="61" t="s">
        <v>959</v>
      </c>
      <c r="D514" s="61" t="s">
        <v>67</v>
      </c>
      <c r="E514" s="62">
        <v>29171</v>
      </c>
      <c r="F514" s="61">
        <v>94121</v>
      </c>
      <c r="G514" s="61" t="s">
        <v>85</v>
      </c>
      <c r="H514" s="63">
        <v>488</v>
      </c>
      <c r="I514" s="64" t="s">
        <v>81</v>
      </c>
      <c r="J514" s="63" t="s">
        <v>56</v>
      </c>
      <c r="K514" s="65"/>
      <c r="L514" s="66"/>
      <c r="M514" s="67"/>
      <c r="N514" s="67"/>
      <c r="O514" s="67"/>
      <c r="P514" s="68"/>
      <c r="Q514" s="67"/>
      <c r="R514" s="67"/>
      <c r="S514" s="69"/>
      <c r="T514" s="69"/>
      <c r="U514" s="69"/>
      <c r="V514" s="69"/>
      <c r="W514" s="69"/>
      <c r="X514" s="69"/>
      <c r="Y514" s="69"/>
      <c r="Z514" s="69"/>
      <c r="AA514" s="69"/>
      <c r="AB514" s="70"/>
      <c r="AC514" s="69"/>
      <c r="AD514" s="69"/>
      <c r="AE514" s="71"/>
      <c r="AF514" s="69"/>
    </row>
    <row r="515" s="3" customFormat="1" ht="15" customHeight="1" spans="1:46">
      <c r="A515" s="60">
        <v>490</v>
      </c>
      <c r="B515" s="61" t="s">
        <v>735</v>
      </c>
      <c r="C515" s="61" t="s">
        <v>961</v>
      </c>
      <c r="D515" s="61" t="s">
        <v>52</v>
      </c>
      <c r="E515" s="62">
        <v>32583</v>
      </c>
      <c r="F515" s="61">
        <v>80540</v>
      </c>
      <c r="G515" s="61" t="s">
        <v>53</v>
      </c>
      <c r="H515" s="63" t="s">
        <v>54</v>
      </c>
      <c r="I515" s="64" t="s">
        <v>55</v>
      </c>
      <c r="J515" s="63" t="s">
        <v>56</v>
      </c>
      <c r="K515" s="65" t="s">
        <v>57</v>
      </c>
      <c r="L515" s="66">
        <v>2224.48</v>
      </c>
      <c r="M515" s="67" t="s">
        <v>81</v>
      </c>
      <c r="N515" s="67" t="s">
        <v>59</v>
      </c>
      <c r="O515" s="67">
        <v>84.72</v>
      </c>
      <c r="P515" s="68" t="s">
        <v>55</v>
      </c>
      <c r="Q515" s="67" t="s">
        <v>60</v>
      </c>
      <c r="R515" s="67">
        <v>13.95</v>
      </c>
      <c r="S515" s="69" t="s">
        <v>61</v>
      </c>
      <c r="T515" s="69">
        <v>140000</v>
      </c>
      <c r="U515" s="69"/>
      <c r="V515" s="69" t="s">
        <v>62</v>
      </c>
      <c r="W515" s="69">
        <v>3889.08</v>
      </c>
      <c r="X515" s="69"/>
      <c r="Y515" s="69" t="s">
        <v>63</v>
      </c>
      <c r="Z515" s="69">
        <v>808</v>
      </c>
      <c r="AA515" s="69"/>
      <c r="AB515" s="70"/>
      <c r="AC515" s="69" t="s">
        <v>962</v>
      </c>
      <c r="AD515" s="69"/>
      <c r="AE515" s="71">
        <v>70000</v>
      </c>
      <c r="AF515" s="69"/>
      <c r="AG515" s="3" t="str">
        <f>B515&amp;C515</f>
        <v>RebeccaWoods</v>
      </c>
      <c r="AH515" s="3" t="str">
        <f>VLOOKUP($AG515,[1]Sheet8!$B:$G,1,0)</f>
        <v>REBECCAWOODS</v>
      </c>
      <c r="AI515" s="3" t="str">
        <f>VLOOKUP($AG515,[1]Sheet8!$B:$G,4,0)</f>
        <v>EC</v>
      </c>
      <c r="AJ515" s="3" t="str">
        <f>VLOOKUP($AG515,[1]Sheet8!$B:$G,5,0)</f>
        <v>L093530003</v>
      </c>
      <c r="AK515" s="3">
        <f>VLOOKUP($AG515,[1]Sheet8!$B:$G,6,0)</f>
        <v>13.95</v>
      </c>
      <c r="AL515" s="3" t="s">
        <v>55</v>
      </c>
      <c r="AM515" s="3" t="s">
        <v>57</v>
      </c>
      <c r="AN515" s="3">
        <v>2224.48</v>
      </c>
      <c r="AO515" s="3" t="s">
        <v>81</v>
      </c>
      <c r="AP515" s="3" t="s">
        <v>59</v>
      </c>
      <c r="AQ515" s="3">
        <v>84.72</v>
      </c>
      <c r="AR515" s="3" t="s">
        <v>55</v>
      </c>
      <c r="AS515" s="3" t="s">
        <v>60</v>
      </c>
      <c r="AT515" s="3">
        <v>13.95</v>
      </c>
    </row>
    <row r="516" s="3" customFormat="1" ht="15" customHeight="1" spans="1:46">
      <c r="A516" s="60">
        <v>491</v>
      </c>
      <c r="B516" s="61" t="s">
        <v>963</v>
      </c>
      <c r="C516" s="61" t="s">
        <v>964</v>
      </c>
      <c r="D516" s="61" t="s">
        <v>52</v>
      </c>
      <c r="E516" s="62">
        <v>41399</v>
      </c>
      <c r="F516" s="61">
        <v>80540</v>
      </c>
      <c r="G516" s="61" t="s">
        <v>68</v>
      </c>
      <c r="H516" s="63">
        <v>490</v>
      </c>
      <c r="I516" s="64" t="s">
        <v>55</v>
      </c>
      <c r="J516" s="63" t="s">
        <v>56</v>
      </c>
      <c r="K516" s="65"/>
      <c r="L516" s="66"/>
      <c r="M516" s="67"/>
      <c r="N516" s="67"/>
      <c r="O516" s="67"/>
      <c r="P516" s="68"/>
      <c r="Q516" s="67"/>
      <c r="R516" s="67"/>
      <c r="S516" s="69"/>
      <c r="T516" s="69"/>
      <c r="U516" s="69"/>
      <c r="V516" s="69"/>
      <c r="W516" s="69"/>
      <c r="X516" s="69"/>
      <c r="Y516" s="69"/>
      <c r="Z516" s="69"/>
      <c r="AA516" s="69"/>
      <c r="AB516" s="70"/>
      <c r="AC516" s="69"/>
      <c r="AD516" s="69"/>
      <c r="AE516" s="71"/>
      <c r="AF516" s="69"/>
    </row>
    <row r="517" s="3" customFormat="1" ht="15" customHeight="1" spans="1:46">
      <c r="A517" s="60">
        <v>492</v>
      </c>
      <c r="B517" s="61" t="s">
        <v>965</v>
      </c>
      <c r="C517" s="61" t="s">
        <v>966</v>
      </c>
      <c r="D517" s="61" t="s">
        <v>67</v>
      </c>
      <c r="E517" s="62">
        <v>34378</v>
      </c>
      <c r="F517" s="61">
        <v>10017</v>
      </c>
      <c r="G517" s="61" t="s">
        <v>53</v>
      </c>
      <c r="H517" s="63" t="s">
        <v>54</v>
      </c>
      <c r="I517" s="64" t="s">
        <v>53</v>
      </c>
      <c r="J517" s="63" t="s">
        <v>56</v>
      </c>
      <c r="K517" s="65" t="s">
        <v>82</v>
      </c>
      <c r="L517" s="66">
        <v>781.79</v>
      </c>
      <c r="M517" s="67" t="s">
        <v>53</v>
      </c>
      <c r="N517" s="67" t="s">
        <v>59</v>
      </c>
      <c r="O517" s="67">
        <v>42.39</v>
      </c>
      <c r="P517" s="68"/>
      <c r="Q517" s="67"/>
      <c r="R517" s="67"/>
      <c r="S517" s="69" t="s">
        <v>61</v>
      </c>
      <c r="T517" s="69">
        <v>231000</v>
      </c>
      <c r="U517" s="69"/>
      <c r="V517" s="69" t="s">
        <v>62</v>
      </c>
      <c r="W517" s="69">
        <v>6400.32</v>
      </c>
      <c r="X517" s="69"/>
      <c r="Y517" s="69" t="s">
        <v>63</v>
      </c>
      <c r="Z517" s="69">
        <v>1329</v>
      </c>
      <c r="AA517" s="69"/>
      <c r="AB517" s="70"/>
      <c r="AC517" s="69" t="s">
        <v>98</v>
      </c>
      <c r="AD517" s="69"/>
      <c r="AE517" s="71">
        <v>119462</v>
      </c>
      <c r="AF517" s="69"/>
      <c r="AG517" s="3" t="str">
        <f t="shared" ref="AG517:AG522" si="18">B517&amp;C517</f>
        <v>TsuyoshiYoneda</v>
      </c>
      <c r="AH517" s="3" t="e">
        <f>VLOOKUP($AG517,[1]Sheet8!$B:$G,1,0)</f>
        <v>#N/A</v>
      </c>
      <c r="AI517" s="3" t="e">
        <f>VLOOKUP($AG517,[1]Sheet8!$B:$G,4,0)</f>
        <v>#N/A</v>
      </c>
      <c r="AJ517" s="3" t="e">
        <f>VLOOKUP($AG517,[1]Sheet8!$B:$G,5,0)</f>
        <v>#N/A</v>
      </c>
      <c r="AK517" s="3" t="e">
        <f>VLOOKUP($AG517,[1]Sheet8!$B:$G,6,0)</f>
        <v>#N/A</v>
      </c>
      <c r="AL517" s="3" t="s">
        <v>53</v>
      </c>
      <c r="AM517" s="3" t="s">
        <v>82</v>
      </c>
      <c r="AN517" s="3">
        <v>781.79</v>
      </c>
      <c r="AO517" s="3" t="s">
        <v>53</v>
      </c>
      <c r="AP517" s="3" t="s">
        <v>59</v>
      </c>
      <c r="AQ517" s="3">
        <v>42.39</v>
      </c>
    </row>
    <row r="518" s="3" customFormat="1" ht="15" customHeight="1" spans="1:46">
      <c r="A518" s="60">
        <v>493</v>
      </c>
      <c r="B518" s="61" t="s">
        <v>967</v>
      </c>
      <c r="C518" s="61" t="s">
        <v>968</v>
      </c>
      <c r="D518" s="61" t="s">
        <v>52</v>
      </c>
      <c r="E518" s="62">
        <v>32540</v>
      </c>
      <c r="F518" s="61">
        <v>92879</v>
      </c>
      <c r="G518" s="61" t="s">
        <v>53</v>
      </c>
      <c r="H518" s="63" t="s">
        <v>54</v>
      </c>
      <c r="I518" s="64" t="s">
        <v>53</v>
      </c>
      <c r="J518" s="63" t="s">
        <v>56</v>
      </c>
      <c r="K518" s="65" t="s">
        <v>82</v>
      </c>
      <c r="L518" s="66">
        <v>781.79</v>
      </c>
      <c r="M518" s="67" t="s">
        <v>81</v>
      </c>
      <c r="N518" s="67" t="s">
        <v>59</v>
      </c>
      <c r="O518" s="67">
        <v>84.72</v>
      </c>
      <c r="P518" s="68" t="s">
        <v>53</v>
      </c>
      <c r="Q518" s="67" t="s">
        <v>60</v>
      </c>
      <c r="R518" s="67">
        <v>8.22</v>
      </c>
      <c r="S518" s="69" t="s">
        <v>61</v>
      </c>
      <c r="T518" s="69">
        <v>176000</v>
      </c>
      <c r="U518" s="69"/>
      <c r="V518" s="69" t="s">
        <v>62</v>
      </c>
      <c r="W518" s="69">
        <v>4881.08</v>
      </c>
      <c r="X518" s="69"/>
      <c r="Y518" s="69" t="s">
        <v>63</v>
      </c>
      <c r="Z518" s="69">
        <v>1014</v>
      </c>
      <c r="AA518" s="69"/>
      <c r="AB518" s="70"/>
      <c r="AC518" s="69" t="s">
        <v>144</v>
      </c>
      <c r="AD518" s="69"/>
      <c r="AE518" s="71">
        <v>90490</v>
      </c>
      <c r="AF518" s="69"/>
      <c r="AG518" s="3" t="str">
        <f t="shared" si="18"/>
        <v>JennyYoo</v>
      </c>
      <c r="AH518" s="3" t="str">
        <f>VLOOKUP($AG518,[1]Sheet8!$B:$G,1,0)</f>
        <v>JENNYYOO</v>
      </c>
      <c r="AI518" s="3" t="str">
        <f>VLOOKUP($AG518,[1]Sheet8!$B:$G,4,0)</f>
        <v>EE</v>
      </c>
      <c r="AJ518" s="3" t="str">
        <f>VLOOKUP($AG518,[1]Sheet8!$B:$G,5,0)</f>
        <v>L093530003</v>
      </c>
      <c r="AK518" s="3">
        <f>VLOOKUP($AG518,[1]Sheet8!$B:$G,6,0)</f>
        <v>8.22</v>
      </c>
      <c r="AL518" s="3" t="s">
        <v>53</v>
      </c>
      <c r="AM518" s="3" t="s">
        <v>82</v>
      </c>
      <c r="AN518" s="3">
        <v>781.79</v>
      </c>
      <c r="AO518" s="3" t="s">
        <v>81</v>
      </c>
      <c r="AP518" s="3" t="s">
        <v>59</v>
      </c>
      <c r="AQ518" s="3">
        <v>84.72</v>
      </c>
      <c r="AR518" s="3" t="s">
        <v>53</v>
      </c>
      <c r="AS518" s="3" t="s">
        <v>60</v>
      </c>
      <c r="AT518" s="3">
        <v>8.22</v>
      </c>
    </row>
    <row r="519" s="3" customFormat="1" ht="15" customHeight="1" spans="1:46">
      <c r="A519" s="60">
        <v>494</v>
      </c>
      <c r="B519" s="61" t="s">
        <v>455</v>
      </c>
      <c r="C519" s="61" t="s">
        <v>969</v>
      </c>
      <c r="D519" s="61" t="s">
        <v>67</v>
      </c>
      <c r="E519" s="62">
        <v>35322</v>
      </c>
      <c r="F519" s="61">
        <v>90035</v>
      </c>
      <c r="G519" s="61" t="s">
        <v>53</v>
      </c>
      <c r="H519" s="63" t="s">
        <v>54</v>
      </c>
      <c r="I519" s="64" t="s">
        <v>53</v>
      </c>
      <c r="J519" s="63" t="s">
        <v>56</v>
      </c>
      <c r="K519" s="65" t="s">
        <v>82</v>
      </c>
      <c r="L519" s="66">
        <v>781.79</v>
      </c>
      <c r="M519" s="67" t="s">
        <v>53</v>
      </c>
      <c r="N519" s="67" t="s">
        <v>59</v>
      </c>
      <c r="O519" s="67">
        <v>42.39</v>
      </c>
      <c r="P519" s="68" t="s">
        <v>53</v>
      </c>
      <c r="Q519" s="67" t="s">
        <v>60</v>
      </c>
      <c r="R519" s="67">
        <v>8.22</v>
      </c>
      <c r="S519" s="69" t="s">
        <v>61</v>
      </c>
      <c r="T519" s="69">
        <v>190000</v>
      </c>
      <c r="U519" s="69"/>
      <c r="V519" s="69" t="s">
        <v>62</v>
      </c>
      <c r="W519" s="69">
        <v>5278.04</v>
      </c>
      <c r="X519" s="69"/>
      <c r="Y519" s="69" t="s">
        <v>63</v>
      </c>
      <c r="Z519" s="69">
        <v>1096</v>
      </c>
      <c r="AA519" s="69"/>
      <c r="AB519" s="70"/>
      <c r="AC519" s="69" t="s">
        <v>144</v>
      </c>
      <c r="AD519" s="69"/>
      <c r="AE519" s="71">
        <v>97850</v>
      </c>
      <c r="AF519" s="69"/>
      <c r="AG519" s="3" t="str">
        <f t="shared" si="18"/>
        <v>AndrewYoun</v>
      </c>
      <c r="AH519" s="3" t="str">
        <f>VLOOKUP($AG519,[1]Sheet8!$B:$G,1,0)</f>
        <v>ANDREWYOUN</v>
      </c>
      <c r="AI519" s="3" t="str">
        <f>VLOOKUP($AG519,[1]Sheet8!$B:$G,4,0)</f>
        <v>EE</v>
      </c>
      <c r="AJ519" s="3" t="str">
        <f>VLOOKUP($AG519,[1]Sheet8!$B:$G,5,0)</f>
        <v>L093530003</v>
      </c>
      <c r="AK519" s="3">
        <f>VLOOKUP($AG519,[1]Sheet8!$B:$G,6,0)</f>
        <v>8.22</v>
      </c>
      <c r="AL519" s="3" t="s">
        <v>53</v>
      </c>
      <c r="AM519" s="3" t="s">
        <v>82</v>
      </c>
      <c r="AN519" s="3">
        <v>781.79</v>
      </c>
      <c r="AO519" s="3" t="s">
        <v>53</v>
      </c>
      <c r="AP519" s="3" t="s">
        <v>59</v>
      </c>
      <c r="AQ519" s="3">
        <v>42.39</v>
      </c>
      <c r="AR519" s="3" t="s">
        <v>53</v>
      </c>
      <c r="AS519" s="3" t="s">
        <v>60</v>
      </c>
      <c r="AT519" s="3">
        <v>8.22</v>
      </c>
    </row>
    <row r="520" s="3" customFormat="1" ht="15" customHeight="1" spans="1:46">
      <c r="A520" s="60">
        <v>495</v>
      </c>
      <c r="B520" s="61" t="s">
        <v>970</v>
      </c>
      <c r="C520" s="61" t="s">
        <v>971</v>
      </c>
      <c r="D520" s="61" t="s">
        <v>52</v>
      </c>
      <c r="E520" s="62">
        <v>30806</v>
      </c>
      <c r="F520" s="61">
        <v>91030</v>
      </c>
      <c r="G520" s="61" t="s">
        <v>53</v>
      </c>
      <c r="H520" s="63" t="s">
        <v>54</v>
      </c>
      <c r="I520" s="64" t="s">
        <v>53</v>
      </c>
      <c r="J520" s="63" t="s">
        <v>56</v>
      </c>
      <c r="K520" s="65" t="s">
        <v>82</v>
      </c>
      <c r="L520" s="66">
        <v>781.79</v>
      </c>
      <c r="M520" s="67" t="s">
        <v>53</v>
      </c>
      <c r="N520" s="67" t="s">
        <v>59</v>
      </c>
      <c r="O520" s="67">
        <v>42.39</v>
      </c>
      <c r="P520" s="68" t="s">
        <v>53</v>
      </c>
      <c r="Q520" s="67" t="s">
        <v>60</v>
      </c>
      <c r="R520" s="67">
        <v>8.22</v>
      </c>
      <c r="S520" s="69" t="s">
        <v>61</v>
      </c>
      <c r="T520" s="69">
        <v>250000</v>
      </c>
      <c r="U520" s="69"/>
      <c r="V520" s="69" t="s">
        <v>62</v>
      </c>
      <c r="W520" s="69">
        <v>7303.42</v>
      </c>
      <c r="X520" s="69"/>
      <c r="Y520" s="69" t="s">
        <v>63</v>
      </c>
      <c r="Z520" s="69">
        <v>1517</v>
      </c>
      <c r="AA520" s="69"/>
      <c r="AB520" s="70"/>
      <c r="AC520" s="69" t="s">
        <v>98</v>
      </c>
      <c r="AD520" s="69"/>
      <c r="AE520" s="71">
        <v>131445</v>
      </c>
      <c r="AF520" s="69"/>
      <c r="AG520" s="3" t="str">
        <f t="shared" si="18"/>
        <v>ClaireZedelius</v>
      </c>
      <c r="AH520" s="3" t="str">
        <f>VLOOKUP($AG520,[1]Sheet8!$B:$G,1,0)</f>
        <v>CLAIREZEDELIUS</v>
      </c>
      <c r="AI520" s="3" t="str">
        <f>VLOOKUP($AG520,[1]Sheet8!$B:$G,4,0)</f>
        <v>EE</v>
      </c>
      <c r="AJ520" s="3" t="str">
        <f>VLOOKUP($AG520,[1]Sheet8!$B:$G,5,0)</f>
        <v>L093530003</v>
      </c>
      <c r="AK520" s="3">
        <f>VLOOKUP($AG520,[1]Sheet8!$B:$G,6,0)</f>
        <v>8.22</v>
      </c>
      <c r="AL520" s="3" t="s">
        <v>53</v>
      </c>
      <c r="AM520" s="3" t="s">
        <v>82</v>
      </c>
      <c r="AN520" s="3">
        <v>781.79</v>
      </c>
      <c r="AO520" s="3" t="s">
        <v>53</v>
      </c>
      <c r="AP520" s="3" t="s">
        <v>59</v>
      </c>
      <c r="AQ520" s="3">
        <v>42.39</v>
      </c>
      <c r="AR520" s="3" t="s">
        <v>53</v>
      </c>
      <c r="AS520" s="3" t="s">
        <v>60</v>
      </c>
      <c r="AT520" s="3">
        <v>8.22</v>
      </c>
    </row>
    <row r="521" s="3" customFormat="1" ht="15" customHeight="1" spans="1:46">
      <c r="A521" s="60">
        <v>496</v>
      </c>
      <c r="B521" s="61" t="s">
        <v>391</v>
      </c>
      <c r="C521" s="61" t="s">
        <v>972</v>
      </c>
      <c r="D521" s="61" t="s">
        <v>67</v>
      </c>
      <c r="E521" s="62">
        <v>36743</v>
      </c>
      <c r="F521" s="61">
        <v>19446</v>
      </c>
      <c r="G521" s="61" t="s">
        <v>53</v>
      </c>
      <c r="H521" s="63" t="s">
        <v>54</v>
      </c>
      <c r="I521" s="64" t="s">
        <v>119</v>
      </c>
      <c r="J521" s="63" t="s">
        <v>56</v>
      </c>
      <c r="K521" s="65"/>
      <c r="L521" s="66"/>
      <c r="M521" s="67"/>
      <c r="N521" s="67"/>
      <c r="O521" s="67"/>
      <c r="P521" s="68"/>
      <c r="Q521" s="67"/>
      <c r="R521" s="67"/>
      <c r="S521" s="69" t="s">
        <v>61</v>
      </c>
      <c r="T521" s="69">
        <v>177000</v>
      </c>
      <c r="U521" s="69"/>
      <c r="V521" s="69" t="s">
        <v>62</v>
      </c>
      <c r="W521" s="69">
        <v>4911.8</v>
      </c>
      <c r="X521" s="69"/>
      <c r="Y521" s="69" t="s">
        <v>63</v>
      </c>
      <c r="Z521" s="69">
        <v>1020</v>
      </c>
      <c r="AA521" s="69"/>
      <c r="AB521" s="70"/>
      <c r="AC521" s="69" t="s">
        <v>567</v>
      </c>
      <c r="AD521" s="69"/>
      <c r="AE521" s="71">
        <v>92829</v>
      </c>
      <c r="AF521" s="69"/>
      <c r="AG521" s="3" t="str">
        <f t="shared" si="18"/>
        <v>KevinZhang</v>
      </c>
      <c r="AH521" s="3" t="e">
        <f>VLOOKUP($AG521,[1]Sheet8!$B:$G,1,0)</f>
        <v>#N/A</v>
      </c>
      <c r="AI521" s="3" t="e">
        <f>VLOOKUP($AG521,[1]Sheet8!$B:$G,4,0)</f>
        <v>#N/A</v>
      </c>
      <c r="AJ521" s="3" t="e">
        <f>VLOOKUP($AG521,[1]Sheet8!$B:$G,5,0)</f>
        <v>#N/A</v>
      </c>
      <c r="AK521" s="3" t="e">
        <f>VLOOKUP($AG521,[1]Sheet8!$B:$G,6,0)</f>
        <v>#N/A</v>
      </c>
    </row>
    <row r="522" s="3" customFormat="1" ht="15" customHeight="1" spans="1:46">
      <c r="A522" s="60">
        <v>497</v>
      </c>
      <c r="B522" s="61" t="s">
        <v>973</v>
      </c>
      <c r="C522" s="61" t="s">
        <v>972</v>
      </c>
      <c r="D522" s="61" t="s">
        <v>52</v>
      </c>
      <c r="E522" s="62">
        <v>30972</v>
      </c>
      <c r="F522" s="61">
        <v>88011</v>
      </c>
      <c r="G522" s="61" t="s">
        <v>53</v>
      </c>
      <c r="H522" s="63" t="s">
        <v>54</v>
      </c>
      <c r="I522" s="64" t="s">
        <v>58</v>
      </c>
      <c r="J522" s="63" t="s">
        <v>56</v>
      </c>
      <c r="K522" s="65" t="s">
        <v>82</v>
      </c>
      <c r="L522" s="66">
        <v>2423.56</v>
      </c>
      <c r="M522" s="67" t="s">
        <v>58</v>
      </c>
      <c r="N522" s="67" t="s">
        <v>59</v>
      </c>
      <c r="O522" s="67">
        <v>147.1</v>
      </c>
      <c r="P522" s="68" t="s">
        <v>58</v>
      </c>
      <c r="Q522" s="67" t="s">
        <v>60</v>
      </c>
      <c r="R522" s="67">
        <v>23</v>
      </c>
      <c r="S522" s="69" t="s">
        <v>61</v>
      </c>
      <c r="T522" s="69">
        <v>250000</v>
      </c>
      <c r="U522" s="69"/>
      <c r="V522" s="69" t="s">
        <v>62</v>
      </c>
      <c r="W522" s="69">
        <v>8211.69</v>
      </c>
      <c r="X522" s="69"/>
      <c r="Y522" s="69" t="s">
        <v>63</v>
      </c>
      <c r="Z522" s="69">
        <v>1705</v>
      </c>
      <c r="AA522" s="69"/>
      <c r="AB522" s="70"/>
      <c r="AC522" s="69" t="s">
        <v>197</v>
      </c>
      <c r="AD522" s="69"/>
      <c r="AE522" s="71">
        <v>153715</v>
      </c>
      <c r="AF522" s="69"/>
      <c r="AG522" s="3" t="str">
        <f t="shared" si="18"/>
        <v>XinlingZhang</v>
      </c>
      <c r="AH522" s="3" t="str">
        <f>VLOOKUP($AG522,[1]Sheet8!$B:$G,1,0)</f>
        <v>XINLINGZHANG</v>
      </c>
      <c r="AI522" s="3" t="str">
        <f>VLOOKUP($AG522,[1]Sheet8!$B:$G,4,0)</f>
        <v>FAM</v>
      </c>
      <c r="AJ522" s="3" t="str">
        <f>VLOOKUP($AG522,[1]Sheet8!$B:$G,5,0)</f>
        <v>L093530003</v>
      </c>
      <c r="AK522" s="3">
        <f>VLOOKUP($AG522,[1]Sheet8!$B:$G,6,0)</f>
        <v>23</v>
      </c>
      <c r="AL522" s="3" t="s">
        <v>58</v>
      </c>
      <c r="AM522" s="3" t="s">
        <v>82</v>
      </c>
      <c r="AN522" s="3">
        <v>2423.56</v>
      </c>
      <c r="AO522" s="3" t="s">
        <v>58</v>
      </c>
      <c r="AP522" s="3" t="s">
        <v>59</v>
      </c>
      <c r="AQ522" s="3">
        <v>147.1</v>
      </c>
      <c r="AR522" s="3" t="s">
        <v>58</v>
      </c>
      <c r="AS522" s="3" t="s">
        <v>60</v>
      </c>
      <c r="AT522" s="3">
        <v>23</v>
      </c>
    </row>
    <row r="523" s="3" customFormat="1" ht="15" customHeight="1" spans="1:46">
      <c r="A523" s="60">
        <v>498</v>
      </c>
      <c r="B523" s="61" t="s">
        <v>974</v>
      </c>
      <c r="C523" s="61" t="s">
        <v>975</v>
      </c>
      <c r="D523" s="61" t="s">
        <v>52</v>
      </c>
      <c r="E523" s="62">
        <v>44975</v>
      </c>
      <c r="F523" s="61">
        <v>88011</v>
      </c>
      <c r="G523" s="61" t="s">
        <v>68</v>
      </c>
      <c r="H523" s="63">
        <v>497</v>
      </c>
      <c r="I523" s="64" t="s">
        <v>58</v>
      </c>
      <c r="J523" s="63" t="s">
        <v>56</v>
      </c>
      <c r="K523" s="65"/>
      <c r="L523" s="66"/>
      <c r="M523" s="67"/>
      <c r="N523" s="67"/>
      <c r="O523" s="67"/>
      <c r="P523" s="68"/>
      <c r="Q523" s="67"/>
      <c r="R523" s="67"/>
      <c r="S523" s="69"/>
      <c r="T523" s="69"/>
      <c r="U523" s="69"/>
      <c r="V523" s="69"/>
      <c r="W523" s="69"/>
      <c r="X523" s="69"/>
      <c r="Y523" s="69"/>
      <c r="Z523" s="69"/>
      <c r="AA523" s="69"/>
      <c r="AB523" s="70"/>
      <c r="AC523" s="69"/>
      <c r="AD523" s="69"/>
      <c r="AE523" s="71"/>
      <c r="AF523" s="69"/>
    </row>
    <row r="524" s="3" customFormat="1" ht="15" customHeight="1" spans="1:46">
      <c r="A524" s="60">
        <v>499</v>
      </c>
      <c r="B524" s="61" t="s">
        <v>358</v>
      </c>
      <c r="C524" s="61" t="s">
        <v>975</v>
      </c>
      <c r="D524" s="61" t="s">
        <v>52</v>
      </c>
      <c r="E524" s="62">
        <v>43506</v>
      </c>
      <c r="F524" s="61">
        <v>88011</v>
      </c>
      <c r="G524" s="61" t="s">
        <v>68</v>
      </c>
      <c r="H524" s="63">
        <v>497</v>
      </c>
      <c r="I524" s="64" t="s">
        <v>58</v>
      </c>
      <c r="J524" s="63" t="s">
        <v>56</v>
      </c>
      <c r="K524" s="65"/>
      <c r="L524" s="66"/>
      <c r="M524" s="67"/>
      <c r="N524" s="67"/>
      <c r="O524" s="67"/>
      <c r="P524" s="68"/>
      <c r="Q524" s="67"/>
      <c r="R524" s="67"/>
      <c r="S524" s="69"/>
      <c r="T524" s="69"/>
      <c r="U524" s="69"/>
      <c r="V524" s="69"/>
      <c r="W524" s="69"/>
      <c r="X524" s="69"/>
      <c r="Y524" s="69"/>
      <c r="Z524" s="69"/>
      <c r="AA524" s="69"/>
      <c r="AB524" s="70"/>
      <c r="AC524" s="69"/>
      <c r="AD524" s="69"/>
      <c r="AE524" s="71"/>
      <c r="AF524" s="69"/>
    </row>
    <row r="525" s="3" customFormat="1" ht="15" customHeight="1" spans="1:46">
      <c r="A525" s="60">
        <v>500</v>
      </c>
      <c r="B525" s="61" t="s">
        <v>976</v>
      </c>
      <c r="C525" s="61" t="s">
        <v>975</v>
      </c>
      <c r="D525" s="61" t="s">
        <v>67</v>
      </c>
      <c r="E525" s="62">
        <v>31135</v>
      </c>
      <c r="F525" s="61">
        <v>88011</v>
      </c>
      <c r="G525" s="61" t="s">
        <v>85</v>
      </c>
      <c r="H525" s="63">
        <v>497</v>
      </c>
      <c r="I525" s="64" t="s">
        <v>58</v>
      </c>
      <c r="J525" s="63" t="s">
        <v>56</v>
      </c>
      <c r="K525" s="65"/>
      <c r="L525" s="66"/>
      <c r="M525" s="67"/>
      <c r="N525" s="67"/>
      <c r="O525" s="67"/>
      <c r="P525" s="68"/>
      <c r="Q525" s="67"/>
      <c r="R525" s="67"/>
      <c r="S525" s="69"/>
      <c r="T525" s="69"/>
      <c r="U525" s="69"/>
      <c r="V525" s="69"/>
      <c r="W525" s="69"/>
      <c r="X525" s="69"/>
      <c r="Y525" s="69"/>
      <c r="Z525" s="69"/>
      <c r="AA525" s="69"/>
      <c r="AB525" s="70"/>
      <c r="AC525" s="69"/>
      <c r="AD525" s="69"/>
      <c r="AE525" s="71"/>
      <c r="AF525" s="69"/>
    </row>
    <row r="526" s="3" customFormat="1" ht="15" customHeight="1" spans="1:46">
      <c r="A526" s="60">
        <v>501</v>
      </c>
      <c r="B526" s="61" t="s">
        <v>977</v>
      </c>
      <c r="C526" s="61" t="s">
        <v>972</v>
      </c>
      <c r="D526" s="61" t="s">
        <v>52</v>
      </c>
      <c r="E526" s="62">
        <v>31698</v>
      </c>
      <c r="F526" s="61">
        <v>95131</v>
      </c>
      <c r="G526" s="61" t="s">
        <v>53</v>
      </c>
      <c r="H526" s="63" t="s">
        <v>54</v>
      </c>
      <c r="I526" s="64" t="s">
        <v>53</v>
      </c>
      <c r="J526" s="63" t="s">
        <v>56</v>
      </c>
      <c r="K526" s="65" t="s">
        <v>57</v>
      </c>
      <c r="L526" s="66">
        <v>1235.83</v>
      </c>
      <c r="M526" s="67" t="s">
        <v>53</v>
      </c>
      <c r="N526" s="67" t="s">
        <v>59</v>
      </c>
      <c r="O526" s="67">
        <v>42.39</v>
      </c>
      <c r="P526" s="68" t="s">
        <v>53</v>
      </c>
      <c r="Q526" s="67" t="s">
        <v>60</v>
      </c>
      <c r="R526" s="67">
        <v>8.22</v>
      </c>
      <c r="S526" s="69" t="s">
        <v>61</v>
      </c>
      <c r="T526" s="69">
        <v>204000</v>
      </c>
      <c r="U526" s="69"/>
      <c r="V526" s="69" t="s">
        <v>62</v>
      </c>
      <c r="W526" s="69">
        <v>5657.12</v>
      </c>
      <c r="X526" s="69"/>
      <c r="Y526" s="69" t="s">
        <v>63</v>
      </c>
      <c r="Z526" s="69">
        <v>1175</v>
      </c>
      <c r="AA526" s="69"/>
      <c r="AB526" s="70"/>
      <c r="AC526" s="69" t="s">
        <v>978</v>
      </c>
      <c r="AD526" s="69"/>
      <c r="AE526" s="71">
        <v>104878</v>
      </c>
      <c r="AF526" s="69"/>
      <c r="AG526" s="3" t="str">
        <f>B526&amp;C526</f>
        <v>ZhiyiZhang</v>
      </c>
      <c r="AH526" s="3" t="str">
        <f>VLOOKUP($AG526,[1]Sheet8!$B:$G,1,0)</f>
        <v>ZHIYIZHANG</v>
      </c>
      <c r="AI526" s="3" t="str">
        <f>VLOOKUP($AG526,[1]Sheet8!$B:$G,4,0)</f>
        <v>EE</v>
      </c>
      <c r="AJ526" s="3" t="str">
        <f>VLOOKUP($AG526,[1]Sheet8!$B:$G,5,0)</f>
        <v>L093530003</v>
      </c>
      <c r="AK526" s="3">
        <f>VLOOKUP($AG526,[1]Sheet8!$B:$G,6,0)</f>
        <v>8.22</v>
      </c>
      <c r="AL526" s="3" t="s">
        <v>53</v>
      </c>
      <c r="AM526" s="3" t="s">
        <v>57</v>
      </c>
      <c r="AN526" s="3">
        <v>1235.83</v>
      </c>
      <c r="AO526" s="3" t="s">
        <v>53</v>
      </c>
      <c r="AP526" s="3" t="s">
        <v>59</v>
      </c>
      <c r="AQ526" s="3">
        <v>42.39</v>
      </c>
      <c r="AR526" s="3" t="s">
        <v>53</v>
      </c>
      <c r="AS526" s="3" t="s">
        <v>60</v>
      </c>
      <c r="AT526" s="3">
        <v>8.22</v>
      </c>
    </row>
    <row r="527" s="3" customFormat="1" ht="15" customHeight="1" spans="1:46">
      <c r="A527" s="60">
        <v>502</v>
      </c>
      <c r="B527" s="61" t="s">
        <v>979</v>
      </c>
      <c r="C527" s="61" t="s">
        <v>980</v>
      </c>
      <c r="D527" s="61" t="s">
        <v>52</v>
      </c>
      <c r="E527" s="62">
        <v>30987</v>
      </c>
      <c r="F527" s="61">
        <v>92127</v>
      </c>
      <c r="G527" s="61" t="s">
        <v>53</v>
      </c>
      <c r="H527" s="63" t="s">
        <v>54</v>
      </c>
      <c r="I527" s="64" t="s">
        <v>53</v>
      </c>
      <c r="J527" s="63" t="s">
        <v>56</v>
      </c>
      <c r="K527" s="65" t="s">
        <v>57</v>
      </c>
      <c r="L527" s="66">
        <v>1235.83</v>
      </c>
      <c r="M527" s="67" t="s">
        <v>81</v>
      </c>
      <c r="N527" s="67" t="s">
        <v>59</v>
      </c>
      <c r="O527" s="67">
        <v>84.72</v>
      </c>
      <c r="P527" s="68" t="s">
        <v>58</v>
      </c>
      <c r="Q527" s="67" t="s">
        <v>60</v>
      </c>
      <c r="R527" s="67">
        <v>23</v>
      </c>
      <c r="S527" s="69" t="s">
        <v>61</v>
      </c>
      <c r="T527" s="69">
        <v>250000</v>
      </c>
      <c r="U527" s="69"/>
      <c r="V527" s="69" t="s">
        <v>62</v>
      </c>
      <c r="W527" s="69">
        <v>7104.02</v>
      </c>
      <c r="X527" s="69"/>
      <c r="Y527" s="69" t="s">
        <v>63</v>
      </c>
      <c r="Z527" s="69">
        <v>1475</v>
      </c>
      <c r="AA527" s="69"/>
      <c r="AB527" s="70"/>
      <c r="AC527" s="69" t="s">
        <v>100</v>
      </c>
      <c r="AD527" s="69"/>
      <c r="AE527" s="71">
        <v>133620</v>
      </c>
      <c r="AF527" s="69"/>
      <c r="AG527" s="3" t="str">
        <f>B527&amp;C527</f>
        <v>MineZhao</v>
      </c>
      <c r="AH527" s="3" t="str">
        <f>VLOOKUP($AG527,[1]Sheet8!$B:$G,1,0)</f>
        <v>MINEZHAO</v>
      </c>
      <c r="AI527" s="3" t="str">
        <f>VLOOKUP($AG527,[1]Sheet8!$B:$G,4,0)</f>
        <v>FAM</v>
      </c>
      <c r="AJ527" s="3" t="str">
        <f>VLOOKUP($AG527,[1]Sheet8!$B:$G,5,0)</f>
        <v>L093530003</v>
      </c>
      <c r="AK527" s="3">
        <f>VLOOKUP($AG527,[1]Sheet8!$B:$G,6,0)</f>
        <v>23</v>
      </c>
      <c r="AL527" s="3" t="s">
        <v>53</v>
      </c>
      <c r="AM527" s="3" t="s">
        <v>57</v>
      </c>
      <c r="AN527" s="3">
        <v>1235.83</v>
      </c>
      <c r="AO527" s="3" t="s">
        <v>81</v>
      </c>
      <c r="AP527" s="3" t="s">
        <v>59</v>
      </c>
      <c r="AQ527" s="3">
        <v>84.72</v>
      </c>
      <c r="AR527" s="3" t="s">
        <v>58</v>
      </c>
      <c r="AS527" s="3" t="s">
        <v>60</v>
      </c>
      <c r="AT527" s="3">
        <v>23</v>
      </c>
    </row>
    <row r="528" s="3" customFormat="1" ht="15" customHeight="1" spans="1:46">
      <c r="A528" s="60">
        <v>503</v>
      </c>
      <c r="B528" s="61" t="s">
        <v>222</v>
      </c>
      <c r="C528" s="61" t="s">
        <v>981</v>
      </c>
      <c r="D528" s="61" t="s">
        <v>52</v>
      </c>
      <c r="E528" s="62">
        <v>30283</v>
      </c>
      <c r="F528" s="61" t="s">
        <v>982</v>
      </c>
      <c r="G528" s="61" t="s">
        <v>53</v>
      </c>
      <c r="H528" s="63" t="s">
        <v>54</v>
      </c>
      <c r="I528" s="64" t="s">
        <v>53</v>
      </c>
      <c r="J528" s="63" t="s">
        <v>217</v>
      </c>
      <c r="K528" s="65" t="s">
        <v>57</v>
      </c>
      <c r="L528" s="66">
        <v>1235.83</v>
      </c>
      <c r="M528" s="67" t="s">
        <v>53</v>
      </c>
      <c r="N528" s="67" t="s">
        <v>59</v>
      </c>
      <c r="O528" s="67">
        <v>42.39</v>
      </c>
      <c r="P528" s="68"/>
      <c r="Q528" s="67"/>
      <c r="R528" s="67"/>
      <c r="S528" s="69"/>
      <c r="T528" s="69"/>
      <c r="U528" s="69"/>
      <c r="V528" s="69"/>
      <c r="W528" s="69"/>
      <c r="X528" s="69"/>
      <c r="Y528" s="69"/>
      <c r="Z528" s="69"/>
      <c r="AA528" s="69"/>
      <c r="AB528" s="70"/>
      <c r="AC528" s="69" t="s">
        <v>983</v>
      </c>
      <c r="AD528" s="69"/>
      <c r="AE528" s="71"/>
      <c r="AF528" s="69"/>
      <c r="AG528" s="3" t="str">
        <f>B528&amp;C528</f>
        <v>JenniferZimmerli</v>
      </c>
      <c r="AH528" s="3" t="e">
        <f>VLOOKUP($AG528,[1]Sheet8!$B:$G,1,0)</f>
        <v>#N/A</v>
      </c>
      <c r="AI528" s="3" t="e">
        <f>VLOOKUP($AG528,[1]Sheet8!$B:$G,4,0)</f>
        <v>#N/A</v>
      </c>
      <c r="AJ528" s="3" t="e">
        <f>VLOOKUP($AG528,[1]Sheet8!$B:$G,5,0)</f>
        <v>#N/A</v>
      </c>
      <c r="AK528" s="3" t="e">
        <f>VLOOKUP($AG528,[1]Sheet8!$B:$G,6,0)</f>
        <v>#N/A</v>
      </c>
      <c r="AL528" s="3" t="s">
        <v>53</v>
      </c>
      <c r="AM528" s="3" t="s">
        <v>57</v>
      </c>
      <c r="AN528" s="3">
        <v>1235.83</v>
      </c>
      <c r="AO528" s="3" t="s">
        <v>53</v>
      </c>
      <c r="AP528" s="3" t="s">
        <v>59</v>
      </c>
      <c r="AQ528" s="3">
        <v>42.39</v>
      </c>
    </row>
    <row r="529" s="3" customFormat="1" ht="15" customHeight="1" spans="1:46">
      <c r="A529" s="60">
        <v>504</v>
      </c>
      <c r="B529" s="61" t="s">
        <v>984</v>
      </c>
      <c r="C529" s="61" t="s">
        <v>985</v>
      </c>
      <c r="D529" s="61" t="s">
        <v>52</v>
      </c>
      <c r="E529" s="62">
        <v>32566</v>
      </c>
      <c r="F529" s="61">
        <v>94536</v>
      </c>
      <c r="G529" s="61" t="s">
        <v>53</v>
      </c>
      <c r="H529" s="63" t="s">
        <v>54</v>
      </c>
      <c r="I529" s="64" t="s">
        <v>53</v>
      </c>
      <c r="J529" s="63" t="s">
        <v>56</v>
      </c>
      <c r="K529" s="65" t="s">
        <v>57</v>
      </c>
      <c r="L529" s="66">
        <v>1235.83</v>
      </c>
      <c r="M529" s="67" t="s">
        <v>53</v>
      </c>
      <c r="N529" s="67" t="s">
        <v>59</v>
      </c>
      <c r="O529" s="67">
        <v>42.39</v>
      </c>
      <c r="P529" s="68"/>
      <c r="Q529" s="67"/>
      <c r="R529" s="67"/>
      <c r="S529" s="69" t="s">
        <v>61</v>
      </c>
      <c r="T529" s="69">
        <v>186000</v>
      </c>
      <c r="U529" s="69"/>
      <c r="V529" s="69" t="s">
        <v>62</v>
      </c>
      <c r="W529" s="69">
        <v>5156.09</v>
      </c>
      <c r="X529" s="69"/>
      <c r="Y529" s="69" t="s">
        <v>63</v>
      </c>
      <c r="Z529" s="69">
        <v>1071</v>
      </c>
      <c r="AA529" s="69"/>
      <c r="AB529" s="70"/>
      <c r="AC529" s="69" t="s">
        <v>986</v>
      </c>
      <c r="AD529" s="69"/>
      <c r="AE529" s="71">
        <v>92804.72</v>
      </c>
      <c r="AF529" s="69"/>
      <c r="AG529" s="3" t="str">
        <f>B529&amp;C529</f>
        <v>LinaZou</v>
      </c>
      <c r="AH529" s="3" t="e">
        <f>VLOOKUP($AG529,[1]Sheet8!$B:$G,1,0)</f>
        <v>#N/A</v>
      </c>
      <c r="AI529" s="3" t="e">
        <f>VLOOKUP($AG529,[1]Sheet8!$B:$G,4,0)</f>
        <v>#N/A</v>
      </c>
      <c r="AJ529" s="3" t="e">
        <f>VLOOKUP($AG529,[1]Sheet8!$B:$G,5,0)</f>
        <v>#N/A</v>
      </c>
      <c r="AK529" s="3" t="e">
        <f>VLOOKUP($AG529,[1]Sheet8!$B:$G,6,0)</f>
        <v>#N/A</v>
      </c>
      <c r="AL529" s="3" t="s">
        <v>53</v>
      </c>
      <c r="AM529" s="3" t="s">
        <v>57</v>
      </c>
      <c r="AN529" s="3">
        <v>1235.83</v>
      </c>
      <c r="AO529" s="3" t="s">
        <v>53</v>
      </c>
      <c r="AP529" s="3" t="s">
        <v>59</v>
      </c>
      <c r="AQ529" s="3">
        <v>42.39</v>
      </c>
    </row>
    <row r="530" s="3" customFormat="1" ht="15" customHeight="1" spans="1:46">
      <c r="A530" s="60">
        <v>505</v>
      </c>
      <c r="B530" s="61" t="s">
        <v>987</v>
      </c>
      <c r="C530" s="61" t="s">
        <v>988</v>
      </c>
      <c r="D530" s="61" t="s">
        <v>67</v>
      </c>
      <c r="E530" s="62">
        <v>31211</v>
      </c>
      <c r="F530" s="61">
        <v>14850</v>
      </c>
      <c r="G530" s="61" t="s">
        <v>53</v>
      </c>
      <c r="H530" s="63" t="s">
        <v>54</v>
      </c>
      <c r="I530" s="64" t="s">
        <v>53</v>
      </c>
      <c r="J530" s="63" t="s">
        <v>56</v>
      </c>
      <c r="K530" s="65" t="s">
        <v>57</v>
      </c>
      <c r="L530" s="66">
        <v>1235.83</v>
      </c>
      <c r="M530" s="67" t="s">
        <v>53</v>
      </c>
      <c r="N530" s="67" t="s">
        <v>59</v>
      </c>
      <c r="O530" s="67">
        <v>42.39</v>
      </c>
      <c r="P530" s="68" t="s">
        <v>53</v>
      </c>
      <c r="Q530" s="67" t="s">
        <v>60</v>
      </c>
      <c r="R530" s="67">
        <v>8.22</v>
      </c>
      <c r="S530" s="69" t="s">
        <v>61</v>
      </c>
      <c r="T530" s="69">
        <v>247000</v>
      </c>
      <c r="U530" s="69"/>
      <c r="V530" s="69" t="s">
        <v>62</v>
      </c>
      <c r="W530" s="69">
        <v>6846.4</v>
      </c>
      <c r="X530" s="69"/>
      <c r="Y530" s="69" t="s">
        <v>63</v>
      </c>
      <c r="Z530" s="69">
        <v>1422</v>
      </c>
      <c r="AA530" s="69"/>
      <c r="AB530" s="70"/>
      <c r="AC530" s="69" t="s">
        <v>989</v>
      </c>
      <c r="AD530" s="69"/>
      <c r="AE530" s="71">
        <v>126926</v>
      </c>
      <c r="AF530" s="69"/>
      <c r="AG530" s="3" t="str">
        <f>B530&amp;C530</f>
        <v>ZachariahZussman Dobbins</v>
      </c>
      <c r="AH530" s="3" t="str">
        <f>VLOOKUP($AG530,[1]Sheet8!$B:$G,1,0)</f>
        <v>ZACHARIAHZUSSMAN DOBBINS</v>
      </c>
      <c r="AI530" s="3" t="str">
        <f>VLOOKUP($AG530,[1]Sheet8!$B:$G,4,0)</f>
        <v>EE</v>
      </c>
      <c r="AJ530" s="3" t="str">
        <f>VLOOKUP($AG530,[1]Sheet8!$B:$G,5,0)</f>
        <v>L093530003</v>
      </c>
      <c r="AK530" s="3">
        <f>VLOOKUP($AG530,[1]Sheet8!$B:$G,6,0)</f>
        <v>8.22</v>
      </c>
      <c r="AL530" s="3" t="s">
        <v>53</v>
      </c>
      <c r="AM530" s="3" t="s">
        <v>57</v>
      </c>
      <c r="AN530" s="3">
        <v>1235.83</v>
      </c>
      <c r="AO530" s="3" t="s">
        <v>53</v>
      </c>
      <c r="AP530" s="3" t="s">
        <v>59</v>
      </c>
      <c r="AQ530" s="3">
        <v>42.39</v>
      </c>
      <c r="AR530" s="3" t="s">
        <v>53</v>
      </c>
      <c r="AS530" s="3" t="s">
        <v>60</v>
      </c>
      <c r="AT530" s="3">
        <v>8.22</v>
      </c>
    </row>
  </sheetData>
  <mergeCells count="43">
    <mergeCell ref="B5:AF5"/>
    <mergeCell ref="C8:F8"/>
    <mergeCell ref="C9:F9"/>
    <mergeCell ref="C12:D12"/>
    <mergeCell ref="C13:D13"/>
    <mergeCell ref="C14:D14"/>
    <mergeCell ref="C15:D15"/>
    <mergeCell ref="C16:D16"/>
    <mergeCell ref="C17:D17"/>
    <mergeCell ref="C18:D18"/>
    <mergeCell ref="C21:D21"/>
    <mergeCell ref="C22:D22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</mergeCells>
  <dataValidations count="4">
    <dataValidation type="list" allowBlank="1" showInputMessage="1" showErrorMessage="1" sqref="C21:D21">
      <formula1>"NY-upstate,NY-rest,NJ,CT,Other"</formula1>
    </dataValidation>
    <dataValidation type="list" allowBlank="1" showInputMessage="1" showErrorMessage="1" sqref="J531:J65307">
      <formula1>"EE,ES,EC,Fam,WO,WP,NE,RC"</formula1>
    </dataValidation>
    <dataValidation type="list" allowBlank="1" showInputMessage="1" showErrorMessage="1" sqref="AF40:AF65307">
      <formula1>"FT, PT"</formula1>
    </dataValidation>
    <dataValidation type="list" allowBlank="1" showInputMessage="1" showErrorMessage="1" sqref="K119:Z530 K531:AA65307 L40:Z118">
      <formula1>"EE, ES, EC, EF, EE+1, EE+2, EE+2+"</formula1>
    </dataValidation>
  </dataValidations>
  <printOptions horizontalCentered="1"/>
  <pageMargins left="0.34" right="0.25" top="0.5" bottom="0.67" header="0.5" footer="0.43"/>
  <pageSetup paperSize="1" scale="40" fitToHeight="2" orientation="landscape" cellComments="asDisplayed"/>
  <headerFooter alignWithMargins="0">
    <oddFooter>&amp;L&amp;8&amp;D&amp;R&amp;8&amp;F</oddFooter>
  </headerFooter>
  <ignoredErrors>
    <ignoredError sqref="A1:AF7 A8:B8 D8:AF8 A9:AF11 A24 D24:U24 W24:AF24 A25:AF25 A14:AF23 D12:AF13 A12:B13" twoDigitTextYear="1" numberStoredAsText="1" listDataValidation="1"/>
    <ignoredError sqref="L116:L118 L499 R116:R118 R499 C378 C412 B64 C66 B142 B172 C183 C267 B278 B293 B302 B311 B420 B530 L27:L28 L112 L151:L152 L202 R27:R28 R52:R54 R90:R92 R112 R151:R152 R202 B65:C65 R45:R46 R50 R73:R75 R102:R103 R114 R139 R149 R161 R169 R173 R199:R200 R221:R223 R262:R263 R292 R295:R297 R304:R305 R307:R309 R316:R317 R348 R409:R411 R421:R422 R426:R429 R438:R440 R455 R458:R460 R485:R487 R496 R514 R516 A14:AF23 A25:AF25 B312:C312 B379:C379 B413:C415 E26:G26 B26:C26 B67:C67 B143:C144 B173:C173 B184:C184 B268:C268 B279:C280 B294:C294 B303:C303 B421:C422 L52:L54 L228 L281:L282 L352:L354 L423:L424 AB63:AB71 AB85:AB86 AB108:AB138 AB166:AB172 AB269:AB271 AB285:AB300 AB304:AB309 AB316:AB317 AB426:AB440 AB493:AB515 AF42:AF50 AF60:AF62 AF64:AF70 AF73:AF78 AF84 AF145:AF148 AF272:AF280 AF408:AF415 AF426:AF437 AF454:AF460" numberStoredAsText="1"/>
    <ignoredError sqref="B313:C377 B380:C411 B416:C419 E27:G530 B27:C63 B68:C141 B145:C171 B174:C182 B185:C266 B269:C277 B281:C292 B295:C301 B304:C310 B423:C529 L33 L35:L37 L41 L45:L46 L48 L50 L55:L56 L63 L73:L75 L79 L82:L83 L85:L86 L89:L92 L95 L97 L102:L103 L107 L109 L114 L120 L122 L128 L130 L132 L134 L139:L140 L149 L159 L161 L163:L165 L167 L169 L173:L174 L178 L185:L186 L189:L192 L197 L199:L200 L208:L211 L213 L221:L223 L227 L231:L233 L235 L239:L242 L245:L247 L252:L254 L257:L259 L262:L263 L269:L271 L280 L282 L285 L287:L289 L292 L295:L297 L300 L304:L305 L307:L310 L313:L314 L316:L317 L319 L325 L327:L328 L330 L332 L334:L335 L345 L348 L355 L352 L357:L361 L363:L364 L368:L369 L372 L376:L377 L381:L385 L387:L388 L390 L392:L393 L395:L396 L398:L399 L402 L404:L407 L409:L411 L416:L417 L421:L422 L424 L426:L429 L431 L438:L441 L443:L446 L449:L451 L453 L455 L458:L460 L464 L466 L470:L471 L475 L479 L481 L483 L485:L487 L490:L492 L494 L496 L501 L505 L507 L510 L514 L516 L521 L523:L525 R33 R35:R37 R41 R63 R79 R85:R86 R95 R97 R107 R159 R163:R165 R178 R185:R186 R189:R192 R197 R208:R211 R213 R227 R231:R233 R235 R239:R242 R245:R247 R252:R254 R257:R259 R269:R271 R285 R327:R328 R330 R332 R334:R335 R352 R357:R361 R363:R364 R368:R369 R381:R384 R387:R388 R390 R395:R396 R398:R399 R402 R404:R407 R443:R446 R449:R451 R453 R466 R470:R471 R475 R479 R481 R483 R490:R492 R523:R525 AB26 AB35:AB37 AB41 AB51:AB56 AB60:AB62 AB63 AB64:AB71 AB83:AB84 AB85:AB86 AB97 AB107 AB119:AB138 AB140:AB141 AB163:AB165 AB166:AB172 AB174 AB185:AB186 AB189:AB192 AB197 AB208:AB211 AB213 AB227 AB231:AB233 AB235 AB239:AB242 AB245:AB247 AB252:AB254 AB257:AB259 AB272:AB280 AB269:AB271 AB282:AB284 AB298:AB300 AB285 AB286:AB294 AB310 AB304:AB306 AB313:AB314 AB318:AB320 AB330 AB332 AB334:AB335 AB352 AB357:AB361 AB363:AB364 AB368:AB369 AB381:AB384 AB387:AB388 AB390 AB395:AB396 AB398:AB399 AB402 AB404:AB407 AB423:AB424 AB441 AB426:AB437 AB449:AB451 AB453 AB461:AB462 AB470:AB471 AB475 AB479 AB481 AB483 AB490:AB492 AB493:AB515 AB517 AF26 AF35:AF41 AF47:AF50 AF63 AF66:AF68 AF79:AF82 AF85:AF89 AF107:AF111 AF116:AF139 AF149 AF145:AF146 AF153:AF160 AF168:AF173 AF197:AF200 AF227:AF261 AF264:AF271 AF290:AF297 AF304:AF309 AF316:AF319 AF352:AF364 AF368:AF375 AF381:AF407 AF412:AF415 AF418:AF422 AF438:AF440 AF426:AF434 AF443:AF446 AF449:AF453 AF456:AF460 AF466:AF484 AF490:AF495 AF511:AF516 B24:AF24" numberStoredAsText="1" listDataValidation="1"/>
    <ignoredError sqref="AC34:AE34 AC38:AE40 AG47:AT49 AC47:AE49 AB87:AB89 AC93:AF94 AC96:AE96 AG93:AT101 AC98:AE101 AF113:AT113 AG116:AT138 AC160:AE160 AG170:AT172 AC170:AE172 AC179:AE184 AF178:AT192 AC187:AE188 AG197:AT198 AC198:AE198 AC212:AE212 AF203:AT220 AC214:AE220 AC228:AE230 AC234:AE234 AC236:AE238 AC243:AE244 AC248:AE251 AC255:AE256 AC260:AE261 AC264:AE268 AG293:AT294 AC293:AE294 AG306:AT306 AC306:AE306 AG318:AT319 AC324:AF326 AC329:AE329 AC331:AE331 AC333:AE333 AG324:AT347 AC336:AE347 AC353:AE356 AC362:AE362 AC385:AE386 AC389:AE389 AC391:AE394 AC397:AE397 AC400:AE401 AC403:AE403 AG418:AT420 AC452:AE452 AG456:AT457 AC456:AE457 AF499:AT499 AC467:AE469 AC472:AE474 AC476:AE478 AC480:AE480 AC482:AE482 AC484:AE484 AC493:AE495 AG515:AT515 AC515:AE515 AG24:AT26 J26:L26 J29:L32 J34:L34 J38:L40 Y51:Y56 V51:V56 J60:L62 Y71 Y83 J93:L94 J96:L96 Y112 Y140:Y141 Y150:Y152 J153:L158 Y174 J179:L184 J187:L188 J193:L196 Y201:Y202 J203:L207 J212:L212 J229:L230 J234:L234 J236:L238 J243:L244 J248:L251 J255:L256 Y298:Y300 Y310 Y313:Y314 Y320 J329:L329 J331:L331 J333:L333 J362:L362 J365:L367 Y376:Y377 J378:L380 J389:L389 J397:L397 J400:L401 J403:L403 Y416:Y417 Y423:Y424 V423:V424 Y441 Y447 J447:L448 J452:L452 Y461:Y462 J467:L469 J472:L474 J476:L478 J480:L480 J482:L482 Y517 J526:L530 V71 V83 V112 V140:V141 V150:V152 V174 V201:V202 V298:V300 V310 V313:V314 V320 V376:V377 V416:V417 V441 V447 V461:V462 V517 J87:L88 J89:K89 J139:K139 J173:K173 J307:K309 J381:K384 J438:K440 S34:AA34 S38:AA40 S42:AA44 S47:AA49 S64:AA70 S76:AA78 AC83:AE83 S84:AA84 S93:AA94 S96:AA96 S98:AA101 S104:AA106 S108:AA111 S113:AA113 S115:AA115 S145:AA148 AC150:AE158 S153:AA158 S160:AA160 S162:AA162 S166:AA168 S170:AA172 S179:AA184 S187:AA188 S193:AA196 S198:AA198 AC201:AE207 S203:AA207 S212:AA212 S214:AA220 S224:AA226 S228:AA230 S234:AA234 S236:AA238 S243:AA244 S248:AA251 S255:AA256 S260:AA261 S264:AA268 S286:AA291 S293:AA294 S306:AA306 S318:AA319 S324:AA326 S329:AA329 S331:AA331 S333:AA333 S336:AA347 S349:AA351 S353:AA356 S362:AA362 S365:AA367 S370:AA375 AC370:AE380 S378:AA380 S385:AA386 S389:AA389 S391:AA394 S397:AA397 S400:AA401 S403:AA403 S408:AA408 S412:AA415 AC412:AE420 S418:AA420 S430:AA437 AC447:AE448 S448:AA448 S452:AA452 S454:AA454 S456:AA457 S467:AA469 S472:AA474 S476:AA478 S480:AA480 S482:AA482 S484:AA484 S488:AA489 S493:AA495 S497:AA498 S500:AA513 S515:AA515 S519:AB522 S523:AT530 AC71:AE71 AC108:AE113 AB73:AB78 AF95:AF101 AF327:AF347 AG1:AT7 C8:AT8 A9:AT11 AG12:AT23 A12:C13 J33:K33 M33:AE33 J35:K37 M35:AE37 J41:K41 M41:AE41 J42:L44 J45:K46 J47:L51 J63:K63 M63:AT63 J64:L72 J73:K75 J76:L78 J79:K79 M79:AE79 J80:L81 J82:K83 J84:L84 J85:K86 M85:AE86 J95:K95 M95:AE95 J97:K97 M97:AE97 J98:L101 J102:K103 J104:L106 J107:K107 M107:AE107 J108:L108 J109:K109 J110:L111 J113:L113 J114:K114 J115:L115 J119:L119 J120:K120 J121:L138 J145:L148 J149:K149 J150:L150 J159:K159 M159:AE159 J160:L160 J161:K161 J162:L162 J163:K165 M163:AT165 J166:L166 J167:K167 J168:L168 J169:K169 J170:L172 J178:K178 M178:AE178 J185:K186 M185:AE186 J189:K192 M189:AE192 J197:K197 M197:AE197 J198:L198 J199:K200 J201:L201 J208:K211 M208:AE211 J213:K213 M213:AE213 J214:L220 J221:K223 J224:L226 J227:K227 M227:AE227 J231:K233 M231:AE233 J235:K235 M235:AE235 J239:K242 M239:AE242 J245:K247 M245:AE247 J252:K254 M252:AE254 J257:K259 M257:AE259 J260:L261 J262:K263 J264:L268 J269:K271 M269:AE271 J272:L279 J280:K280 J282:K282 J283:L284 J285:K285 M285:AT285 J286:L286 J287:K289 J290:L291 J292:K292 J293:L303 J304:K305 J306:L306 J316:K317 J318:L326 J327:K328 M327:AE328 J330:K330 M330:AE330 J332:K332 M332:AE332 J334:K335 M334:AE335 J336:L344 J345:K345 J346:L351 J355:K355 J356:L356 J352:K352 M352:AE352 J357:K361 M357:AE361 J363:K364 M363:AE364 J368:K369 M368:AE369 J370:L371 J372:K372 J373:L375 J387:K388 M387:AE388 J390:K390 M390:AE390 J391:L391 J392:K393 J394:L394 J395:K396 M395:AE396 J398:K399 M398:AE399 J402:K402 M402:AE402 J404:K407 M404:AE407 J408:L408 J409:K411 J412:L415 J418:L420 J421:K422 J424:K424 J425:L437 J443:K446 M443:AT446 J449:K451 M449:AE451 J453:K453 M453:AE453 J454:L454 J455:K455 J456:L463 J464:K464 J465:L465 J466:K466 M466:AE466 J470:K471 M470:AE471 J475:K475 M475:AE475 J479:K479 M479:AE479 J481:K481 M481:AE481 J483:K483 M483:AE483 J484:L484 J485:K487 J488:L489 J490:K492 M490:AE492 J493:L493 J494:K494 J495:L495 J496:K496 J497:L498 J500:L500 J501:K501 J502:L520 J521:K521 J522:L522 J523:K525 M523:R525 M381:Q384 S381:AE384 S26:AA26 AC26:AF26 AC51:AE56 S60:AA62 AB80:AB82 S119:AA138 AC119:AE138 AC140:AE141 AC174:AE174 S272:AA280 S282:AA284 AC298:AE300 AC310:AE310 AC313:AE314 AC318:AE320 AC423:AE424 AC441:AE441 AC461:AE462 AC517:AE517 AF33:AT34 AG35:AT41 AG79:AT82 AG85:AT89 AG107:AT111 AG153:AT160 AG227:AT261 AG264:AT271 AG352:AT364 AG368:AT375 AF378:AT380 AG381:AT407 AG412:AT415 AF448:AT448 AG449:AT453 AG466:AT484 AG490:AT495" listDataValidation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Milliman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Census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 Assist</dc:creator>
  <cp:lastModifiedBy>Jagadeesan K</cp:lastModifiedBy>
  <dcterms:created xsi:type="dcterms:W3CDTF">2005-12-12T22:40:00Z</dcterms:created>
  <cp:lastPrinted>2013-12-26T16:06:00Z</cp:lastPrinted>
  <dcterms:modified xsi:type="dcterms:W3CDTF">2026-07-08T16:35:04Z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E2FE98AA36BB4DB3B6A3C129E2E4FC9D_13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